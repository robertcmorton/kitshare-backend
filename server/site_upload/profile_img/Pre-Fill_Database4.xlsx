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5"/>
  <workbookPr/>
  <bookViews>
    <workbookView xWindow="60" yWindow="465" windowWidth="19440" windowHeight="12240" tabRatio="500"/>
  </bookViews>
  <sheets>
    <sheet name="Sheet1" sheetId="1" r:id="rId1"/>
    <sheet name="Sheet2" sheetId="2" r:id="rId2"/>
  </sheets>
  <calcPr calcId="124519"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calcChain.xml><?xml version="1.0" encoding="utf-8"?>
<calcChain xmlns="http://schemas.openxmlformats.org/spreadsheetml/2006/main">
  <c r="I1002" i="1"/>
  <c r="I911"/>
  <c r="J911"/>
  <c r="F911"/>
  <c r="G911"/>
  <c r="F899"/>
  <c r="G899"/>
  <c r="I1118"/>
  <c r="J1118"/>
  <c r="I1117"/>
  <c r="J1117"/>
  <c r="I1116"/>
  <c r="J1116"/>
  <c r="I1115"/>
  <c r="J1115"/>
  <c r="I1114"/>
  <c r="J1114"/>
  <c r="I1113"/>
  <c r="J1113"/>
  <c r="I1112"/>
  <c r="J1112"/>
  <c r="I1111"/>
  <c r="J1111"/>
  <c r="I1110"/>
  <c r="J1110"/>
  <c r="I1109"/>
  <c r="J1109"/>
  <c r="I1108"/>
  <c r="J1108"/>
  <c r="I1107"/>
  <c r="J1107"/>
  <c r="I1106"/>
  <c r="J1106"/>
  <c r="I1105"/>
  <c r="J1105"/>
  <c r="I1104"/>
  <c r="J1104"/>
  <c r="I1103"/>
  <c r="J1103"/>
  <c r="I1102"/>
  <c r="J1102"/>
  <c r="I1101"/>
  <c r="J1101"/>
  <c r="I1100"/>
  <c r="J1100"/>
  <c r="I1099"/>
  <c r="J1099"/>
  <c r="I1098"/>
  <c r="J1098"/>
  <c r="I1097"/>
  <c r="J1097"/>
  <c r="I1096"/>
  <c r="J1096"/>
  <c r="I1095"/>
  <c r="J1095"/>
  <c r="I1094"/>
  <c r="J1094"/>
  <c r="I1093"/>
  <c r="J1093"/>
  <c r="I1092"/>
  <c r="J1092"/>
  <c r="I1091"/>
  <c r="J1091"/>
  <c r="I1090"/>
  <c r="J1090"/>
  <c r="I1089"/>
  <c r="J1089"/>
  <c r="I1088"/>
  <c r="J1088"/>
  <c r="I1087"/>
  <c r="J1087"/>
  <c r="I1086"/>
  <c r="J1086"/>
  <c r="I1085"/>
  <c r="J1085"/>
  <c r="I1084"/>
  <c r="J1084"/>
  <c r="I1083"/>
  <c r="J1083"/>
  <c r="I1082"/>
  <c r="J1082"/>
  <c r="I1081"/>
  <c r="J1081"/>
  <c r="I1080"/>
  <c r="J1080"/>
  <c r="I1079"/>
  <c r="J1079"/>
  <c r="I1078"/>
  <c r="J1078"/>
  <c r="I1077"/>
  <c r="J1077"/>
  <c r="I1076"/>
  <c r="J1076"/>
  <c r="I1075"/>
  <c r="J1075"/>
  <c r="I1074"/>
  <c r="J1074"/>
  <c r="I1073"/>
  <c r="J1073"/>
  <c r="I1072"/>
  <c r="J1072"/>
  <c r="I1071"/>
  <c r="J1071"/>
  <c r="I1070"/>
  <c r="J1070"/>
  <c r="I1069"/>
  <c r="J1069"/>
  <c r="I1068"/>
  <c r="J1068"/>
  <c r="I1067"/>
  <c r="J1067"/>
  <c r="I1066"/>
  <c r="J1066"/>
  <c r="I1065"/>
  <c r="J1065"/>
  <c r="I1064"/>
  <c r="J1064"/>
  <c r="I1063"/>
  <c r="J1063"/>
  <c r="I1062"/>
  <c r="J1062"/>
  <c r="I1061"/>
  <c r="J1061"/>
  <c r="I1060"/>
  <c r="J1060"/>
  <c r="I1059"/>
  <c r="J1059"/>
  <c r="I1058"/>
  <c r="J1058"/>
  <c r="I1057"/>
  <c r="J1057"/>
  <c r="I1056"/>
  <c r="J1056"/>
  <c r="I1055"/>
  <c r="J1055"/>
  <c r="I1054"/>
  <c r="J1054"/>
  <c r="I1053"/>
  <c r="J1053"/>
  <c r="I1052"/>
  <c r="J1052"/>
  <c r="I1051"/>
  <c r="J1051"/>
  <c r="I1050"/>
  <c r="J1050"/>
  <c r="I1049"/>
  <c r="J1049"/>
  <c r="I1048"/>
  <c r="J1048"/>
  <c r="I1047"/>
  <c r="J1047"/>
  <c r="I1046"/>
  <c r="J1046"/>
  <c r="I1045"/>
  <c r="J1045"/>
  <c r="I1044"/>
  <c r="J1044"/>
  <c r="I1043"/>
  <c r="J1043"/>
  <c r="I1042"/>
  <c r="J1042"/>
  <c r="I1041"/>
  <c r="J1041"/>
  <c r="I1040"/>
  <c r="J1040"/>
  <c r="I1039"/>
  <c r="J1039"/>
  <c r="I1038"/>
  <c r="J1038"/>
  <c r="I1037"/>
  <c r="J1037"/>
  <c r="I1036"/>
  <c r="J1036"/>
  <c r="I1035"/>
  <c r="J1035"/>
  <c r="I1034"/>
  <c r="J1034"/>
  <c r="I1033"/>
  <c r="J1033"/>
  <c r="I1032"/>
  <c r="J1032"/>
  <c r="I1031"/>
  <c r="J1031"/>
  <c r="I1030"/>
  <c r="J1030"/>
  <c r="I1029"/>
  <c r="J1029"/>
  <c r="I1028"/>
  <c r="J1028"/>
  <c r="I1027"/>
  <c r="J1027"/>
  <c r="I1026"/>
  <c r="J1026"/>
  <c r="I1025"/>
  <c r="J1025"/>
  <c r="I1024"/>
  <c r="J1024"/>
  <c r="I1023"/>
  <c r="J1023"/>
  <c r="I1022"/>
  <c r="J1022"/>
  <c r="I1021"/>
  <c r="J1021"/>
  <c r="I1020"/>
  <c r="J1020"/>
  <c r="I1019"/>
  <c r="J1019"/>
  <c r="I1018"/>
  <c r="J1018"/>
  <c r="I1017"/>
  <c r="J1017"/>
  <c r="I1016"/>
  <c r="J1016"/>
  <c r="I1015"/>
  <c r="J1015"/>
  <c r="I1014"/>
  <c r="J1014"/>
  <c r="I1013"/>
  <c r="J1013"/>
  <c r="I1012"/>
  <c r="J1012"/>
  <c r="I1011"/>
  <c r="J1011"/>
  <c r="I1010"/>
  <c r="J1010"/>
  <c r="I1009"/>
  <c r="J1009"/>
  <c r="I1008"/>
  <c r="J1008"/>
  <c r="I1007"/>
  <c r="J1007"/>
  <c r="I1006"/>
  <c r="J1006"/>
  <c r="I1005"/>
  <c r="J1005"/>
  <c r="I1004"/>
  <c r="J1004"/>
  <c r="I1003"/>
  <c r="J1003"/>
  <c r="J1002"/>
  <c r="I1001"/>
  <c r="J1001"/>
  <c r="I1000"/>
  <c r="J1000"/>
  <c r="I999"/>
  <c r="J999"/>
  <c r="I998"/>
  <c r="J998"/>
  <c r="I997"/>
  <c r="J997"/>
  <c r="I996"/>
  <c r="J996"/>
  <c r="I995"/>
  <c r="J995"/>
  <c r="I994"/>
  <c r="J994"/>
  <c r="I993"/>
  <c r="J993"/>
  <c r="I992"/>
  <c r="J992"/>
  <c r="I991"/>
  <c r="J991"/>
  <c r="I990"/>
  <c r="J990"/>
  <c r="I989"/>
  <c r="J989"/>
  <c r="I988"/>
  <c r="J988"/>
  <c r="I987"/>
  <c r="J987"/>
  <c r="I986"/>
  <c r="J986"/>
  <c r="I985"/>
  <c r="J985"/>
  <c r="I984"/>
  <c r="J984"/>
  <c r="I983"/>
  <c r="J983"/>
  <c r="I982"/>
  <c r="J982"/>
  <c r="I981"/>
  <c r="J981"/>
  <c r="I980"/>
  <c r="J980"/>
  <c r="I979"/>
  <c r="J979"/>
  <c r="I978"/>
  <c r="J978"/>
  <c r="I977"/>
  <c r="J977"/>
  <c r="I976"/>
  <c r="J976"/>
  <c r="I975"/>
  <c r="J975"/>
  <c r="I974"/>
  <c r="J974"/>
  <c r="I973"/>
  <c r="J973"/>
  <c r="I972"/>
  <c r="J972"/>
  <c r="I971"/>
  <c r="J971"/>
  <c r="I970"/>
  <c r="J970"/>
  <c r="I969"/>
  <c r="J969"/>
  <c r="I968"/>
  <c r="J968"/>
  <c r="I967"/>
  <c r="J967"/>
  <c r="I966"/>
  <c r="J966"/>
  <c r="I965"/>
  <c r="J965"/>
  <c r="I964"/>
  <c r="J964"/>
  <c r="I963"/>
  <c r="J963"/>
  <c r="I962"/>
  <c r="J962"/>
  <c r="I961"/>
  <c r="J961"/>
  <c r="I960"/>
  <c r="J960"/>
  <c r="I959"/>
  <c r="J959"/>
  <c r="I958"/>
  <c r="J958"/>
  <c r="I957"/>
  <c r="J957"/>
  <c r="I956"/>
  <c r="J956"/>
  <c r="I955"/>
  <c r="J955"/>
  <c r="I954"/>
  <c r="J954"/>
  <c r="I953"/>
  <c r="J953"/>
  <c r="I952"/>
  <c r="J952"/>
  <c r="I951"/>
  <c r="J951"/>
  <c r="I950"/>
  <c r="J950"/>
  <c r="I949"/>
  <c r="J949"/>
  <c r="I948"/>
  <c r="J948"/>
  <c r="I947"/>
  <c r="J947"/>
  <c r="I946"/>
  <c r="J946"/>
  <c r="I945"/>
  <c r="J945"/>
  <c r="I944"/>
  <c r="J944"/>
  <c r="I943"/>
  <c r="J943"/>
  <c r="I942"/>
  <c r="J942"/>
  <c r="I941"/>
  <c r="J941"/>
  <c r="I940"/>
  <c r="J940"/>
  <c r="I939"/>
  <c r="J939"/>
  <c r="I938"/>
  <c r="J938"/>
  <c r="I937"/>
  <c r="J937"/>
  <c r="I936"/>
  <c r="J936"/>
  <c r="I935"/>
  <c r="J935"/>
  <c r="I934"/>
  <c r="J934"/>
  <c r="I933"/>
  <c r="J933"/>
  <c r="I932"/>
  <c r="J932"/>
  <c r="I931"/>
  <c r="J931"/>
  <c r="I930"/>
  <c r="J930"/>
  <c r="I929"/>
  <c r="J929"/>
  <c r="I928"/>
  <c r="J928"/>
  <c r="I927"/>
  <c r="J927"/>
  <c r="I926"/>
  <c r="J926"/>
  <c r="I925"/>
  <c r="J925"/>
  <c r="I924"/>
  <c r="J924"/>
  <c r="I923"/>
  <c r="J923"/>
  <c r="I922"/>
  <c r="J922"/>
  <c r="I921"/>
  <c r="J921"/>
  <c r="I920"/>
  <c r="J920"/>
  <c r="I919"/>
  <c r="J919"/>
  <c r="I918"/>
  <c r="J918"/>
  <c r="I917"/>
  <c r="J917"/>
  <c r="I916"/>
  <c r="J916"/>
  <c r="I915"/>
  <c r="J915"/>
  <c r="I914"/>
  <c r="J914"/>
  <c r="I913"/>
  <c r="J913"/>
  <c r="I912"/>
  <c r="J912"/>
  <c r="I910"/>
  <c r="J910"/>
  <c r="I909"/>
  <c r="J909"/>
  <c r="I908"/>
  <c r="J908"/>
  <c r="I907"/>
  <c r="J907"/>
  <c r="I906"/>
  <c r="J906"/>
  <c r="I905"/>
  <c r="J905"/>
  <c r="I904"/>
  <c r="J904"/>
  <c r="I903"/>
  <c r="J903"/>
  <c r="I902"/>
  <c r="J902"/>
  <c r="I901"/>
  <c r="J901"/>
  <c r="I900"/>
  <c r="J900"/>
  <c r="I899"/>
  <c r="J899"/>
  <c r="I898"/>
  <c r="J898"/>
  <c r="I897"/>
  <c r="J897"/>
  <c r="I896"/>
  <c r="J896"/>
  <c r="I895"/>
  <c r="J895"/>
  <c r="I894"/>
  <c r="J894"/>
  <c r="I893"/>
  <c r="J893"/>
  <c r="I892"/>
  <c r="J892"/>
  <c r="I891"/>
  <c r="J891"/>
  <c r="I890"/>
  <c r="J890"/>
  <c r="I889"/>
  <c r="J889"/>
  <c r="I888"/>
  <c r="J888"/>
  <c r="I887"/>
  <c r="J887"/>
  <c r="I886"/>
  <c r="J886"/>
  <c r="I885"/>
  <c r="J885"/>
  <c r="I884"/>
  <c r="J884"/>
  <c r="I883"/>
  <c r="J883"/>
  <c r="I882"/>
  <c r="J882"/>
  <c r="I881"/>
  <c r="J881"/>
  <c r="I880"/>
  <c r="J880"/>
  <c r="I879"/>
  <c r="J879"/>
  <c r="I878"/>
  <c r="J878"/>
  <c r="I877"/>
  <c r="J877"/>
  <c r="I876"/>
  <c r="J876"/>
  <c r="F1118"/>
  <c r="G1118"/>
  <c r="F1117"/>
  <c r="G1117"/>
  <c r="F1116"/>
  <c r="G1116"/>
  <c r="F1115"/>
  <c r="G1115"/>
  <c r="F1114"/>
  <c r="G1114"/>
  <c r="F1113"/>
  <c r="G1113"/>
  <c r="F1112"/>
  <c r="G1112"/>
  <c r="F1111"/>
  <c r="G1111"/>
  <c r="F1110"/>
  <c r="G1110"/>
  <c r="F1109"/>
  <c r="G1109"/>
  <c r="F1108"/>
  <c r="G1108"/>
  <c r="F1107"/>
  <c r="G1107"/>
  <c r="F1106"/>
  <c r="G1106"/>
  <c r="F1105"/>
  <c r="G1105"/>
  <c r="F1104"/>
  <c r="G1104"/>
  <c r="F1103"/>
  <c r="G1103"/>
  <c r="F1102"/>
  <c r="G1102"/>
  <c r="F1101"/>
  <c r="G1101"/>
  <c r="F1100"/>
  <c r="G1100"/>
  <c r="F1099"/>
  <c r="G1099"/>
  <c r="F1098"/>
  <c r="G1098"/>
  <c r="F1097"/>
  <c r="G1097"/>
  <c r="F1096"/>
  <c r="G1096"/>
  <c r="F1095"/>
  <c r="G1095"/>
  <c r="F1094"/>
  <c r="G1094"/>
  <c r="F1093"/>
  <c r="G1093"/>
  <c r="F1092"/>
  <c r="G1092"/>
  <c r="F1091"/>
  <c r="G1091"/>
  <c r="F1090"/>
  <c r="G1090"/>
  <c r="F1089"/>
  <c r="G1089"/>
  <c r="F1088"/>
  <c r="G1088"/>
  <c r="F1087"/>
  <c r="G1087"/>
  <c r="F1086"/>
  <c r="G1086"/>
  <c r="F1085"/>
  <c r="G1085"/>
  <c r="F1084"/>
  <c r="G1084"/>
  <c r="F1083"/>
  <c r="G1083"/>
  <c r="F1082"/>
  <c r="G1082"/>
  <c r="F1081"/>
  <c r="G1081"/>
  <c r="F1080"/>
  <c r="G1080"/>
  <c r="F1079"/>
  <c r="G1079"/>
  <c r="F1078"/>
  <c r="G1078"/>
  <c r="F1077"/>
  <c r="G1077"/>
  <c r="F1076"/>
  <c r="G1076"/>
  <c r="F1075"/>
  <c r="G1075"/>
  <c r="F1074"/>
  <c r="G1074"/>
  <c r="F1073"/>
  <c r="G1073"/>
  <c r="F1072"/>
  <c r="G1072"/>
  <c r="F1071"/>
  <c r="G1071"/>
  <c r="F1070"/>
  <c r="G1070"/>
  <c r="F1069"/>
  <c r="G1069"/>
  <c r="F1068"/>
  <c r="G1068"/>
  <c r="F1067"/>
  <c r="G1067"/>
  <c r="F1066"/>
  <c r="G1066"/>
  <c r="F1065"/>
  <c r="G1065"/>
  <c r="F1064"/>
  <c r="G1064"/>
  <c r="F1063"/>
  <c r="G1063"/>
  <c r="F1062"/>
  <c r="G1062"/>
  <c r="F1061"/>
  <c r="G1061"/>
  <c r="F1060"/>
  <c r="G1060"/>
  <c r="F1059"/>
  <c r="G1059"/>
  <c r="F1058"/>
  <c r="G1058"/>
  <c r="F1057"/>
  <c r="G1057"/>
  <c r="F1056"/>
  <c r="G1056"/>
  <c r="F1055"/>
  <c r="G1055"/>
  <c r="F1054"/>
  <c r="G1054"/>
  <c r="F1053"/>
  <c r="G1053"/>
  <c r="F1052"/>
  <c r="G1052"/>
  <c r="F1051"/>
  <c r="G1051"/>
  <c r="F1050"/>
  <c r="G1050"/>
  <c r="F1049"/>
  <c r="G1049"/>
  <c r="F1048"/>
  <c r="G1048"/>
  <c r="F1047"/>
  <c r="G1047"/>
  <c r="F1046"/>
  <c r="G1046"/>
  <c r="F1045"/>
  <c r="G1045"/>
  <c r="F1044"/>
  <c r="G1044"/>
  <c r="F1043"/>
  <c r="G1043"/>
  <c r="F1042"/>
  <c r="G1042"/>
  <c r="F1041"/>
  <c r="G1041"/>
  <c r="F1040"/>
  <c r="G1040"/>
  <c r="F1039"/>
  <c r="G1039"/>
  <c r="F1038"/>
  <c r="G1038"/>
  <c r="F1037"/>
  <c r="G1037"/>
  <c r="F1036"/>
  <c r="G1036"/>
  <c r="F1035"/>
  <c r="G1035"/>
  <c r="F1034"/>
  <c r="G1034"/>
  <c r="F1033"/>
  <c r="G1033"/>
  <c r="F1032"/>
  <c r="G1032"/>
  <c r="F1031"/>
  <c r="G1031"/>
  <c r="F1030"/>
  <c r="G1030"/>
  <c r="F1029"/>
  <c r="G1029"/>
  <c r="F1028"/>
  <c r="G1028"/>
  <c r="F1027"/>
  <c r="G1027"/>
  <c r="F1026"/>
  <c r="G1026"/>
  <c r="F1025"/>
  <c r="G1025"/>
  <c r="F1024"/>
  <c r="G1024"/>
  <c r="F1023"/>
  <c r="G1023"/>
  <c r="F1022"/>
  <c r="G1022"/>
  <c r="F1021"/>
  <c r="G1021"/>
  <c r="F1020"/>
  <c r="G1020"/>
  <c r="F1019"/>
  <c r="G1019"/>
  <c r="F1018"/>
  <c r="G1018"/>
  <c r="F1017"/>
  <c r="G1017"/>
  <c r="F1016"/>
  <c r="G1016"/>
  <c r="F1015"/>
  <c r="G1015"/>
  <c r="F1014"/>
  <c r="G1014"/>
  <c r="F1013"/>
  <c r="G1013"/>
  <c r="F1012"/>
  <c r="G1012"/>
  <c r="F1011"/>
  <c r="G1011"/>
  <c r="F1010"/>
  <c r="G1010"/>
  <c r="F1009"/>
  <c r="G1009"/>
  <c r="F1008"/>
  <c r="G1008"/>
  <c r="F1007"/>
  <c r="G1007"/>
  <c r="F1006"/>
  <c r="G1006"/>
  <c r="F1005"/>
  <c r="G1005"/>
  <c r="F1004"/>
  <c r="G1004"/>
  <c r="F1003"/>
  <c r="G1003"/>
  <c r="F1002"/>
  <c r="G1002"/>
  <c r="F1001"/>
  <c r="G1001"/>
  <c r="F1000"/>
  <c r="G1000"/>
  <c r="F999"/>
  <c r="G999"/>
  <c r="F998"/>
  <c r="G998"/>
  <c r="F997"/>
  <c r="G997"/>
  <c r="F996"/>
  <c r="G996"/>
  <c r="F995"/>
  <c r="G995"/>
  <c r="F994"/>
  <c r="G994"/>
  <c r="F993"/>
  <c r="G993"/>
  <c r="F992"/>
  <c r="G992"/>
  <c r="F991"/>
  <c r="G991"/>
  <c r="F990"/>
  <c r="G990"/>
  <c r="F989"/>
  <c r="G989"/>
  <c r="F988"/>
  <c r="G988"/>
  <c r="F987"/>
  <c r="G987"/>
  <c r="F986"/>
  <c r="G986"/>
  <c r="F985"/>
  <c r="G985"/>
  <c r="F984"/>
  <c r="G984"/>
  <c r="F983"/>
  <c r="G983"/>
  <c r="F982"/>
  <c r="G982"/>
  <c r="F981"/>
  <c r="G981"/>
  <c r="F980"/>
  <c r="G980"/>
  <c r="F979"/>
  <c r="G979"/>
  <c r="F978"/>
  <c r="G978"/>
  <c r="F977"/>
  <c r="G977"/>
  <c r="F976"/>
  <c r="G976"/>
  <c r="F975"/>
  <c r="G975"/>
  <c r="F974"/>
  <c r="G974"/>
  <c r="F973"/>
  <c r="G973"/>
  <c r="F972"/>
  <c r="G972"/>
  <c r="F971"/>
  <c r="G971"/>
  <c r="F970"/>
  <c r="G970"/>
  <c r="F969"/>
  <c r="G969"/>
  <c r="F968"/>
  <c r="G968"/>
  <c r="F967"/>
  <c r="G967"/>
  <c r="F966"/>
  <c r="G966"/>
  <c r="F965"/>
  <c r="G965"/>
  <c r="F964"/>
  <c r="G964"/>
  <c r="F963"/>
  <c r="G963"/>
  <c r="F962"/>
  <c r="G962"/>
  <c r="F961"/>
  <c r="G961"/>
  <c r="F960"/>
  <c r="G960"/>
  <c r="F959"/>
  <c r="G959"/>
  <c r="F958"/>
  <c r="G958"/>
  <c r="F957"/>
  <c r="G957"/>
  <c r="F956"/>
  <c r="G956"/>
  <c r="F955"/>
  <c r="G955"/>
  <c r="F954"/>
  <c r="G954"/>
  <c r="F953"/>
  <c r="G953"/>
  <c r="F952"/>
  <c r="G952"/>
  <c r="F951"/>
  <c r="G951"/>
  <c r="F950"/>
  <c r="G950"/>
  <c r="F949"/>
  <c r="G949"/>
  <c r="F948"/>
  <c r="G948"/>
  <c r="F947"/>
  <c r="G947"/>
  <c r="F946"/>
  <c r="G946"/>
  <c r="F945"/>
  <c r="G945"/>
  <c r="F944"/>
  <c r="G944"/>
  <c r="F943"/>
  <c r="G943"/>
  <c r="F942"/>
  <c r="G942"/>
  <c r="F941"/>
  <c r="G941"/>
  <c r="F940"/>
  <c r="G940"/>
  <c r="F939"/>
  <c r="G939"/>
  <c r="F938"/>
  <c r="G938"/>
  <c r="F937"/>
  <c r="G937"/>
  <c r="F936"/>
  <c r="G936"/>
  <c r="F935"/>
  <c r="G935"/>
  <c r="F934"/>
  <c r="G934"/>
  <c r="F933"/>
  <c r="G933"/>
  <c r="F932"/>
  <c r="G932"/>
  <c r="F931"/>
  <c r="G931"/>
  <c r="F930"/>
  <c r="G930"/>
  <c r="F929"/>
  <c r="G929"/>
  <c r="F928"/>
  <c r="G928"/>
  <c r="F927"/>
  <c r="G927"/>
  <c r="F926"/>
  <c r="G926"/>
  <c r="F925"/>
  <c r="G925"/>
  <c r="F924"/>
  <c r="G924"/>
  <c r="F923"/>
  <c r="G923"/>
  <c r="F922"/>
  <c r="G922"/>
  <c r="F921"/>
  <c r="G921"/>
  <c r="F920"/>
  <c r="G920"/>
  <c r="F919"/>
  <c r="G919"/>
  <c r="F918"/>
  <c r="G918"/>
  <c r="F917"/>
  <c r="G917"/>
  <c r="F916"/>
  <c r="G916"/>
  <c r="F915"/>
  <c r="G915"/>
  <c r="F914"/>
  <c r="G914"/>
  <c r="F913"/>
  <c r="G913"/>
  <c r="F912"/>
  <c r="G912"/>
  <c r="F910"/>
  <c r="G910"/>
  <c r="F909"/>
  <c r="G909"/>
  <c r="F908"/>
  <c r="G908"/>
  <c r="F907"/>
  <c r="G907"/>
  <c r="I802"/>
  <c r="J802"/>
  <c r="I801"/>
  <c r="J801"/>
  <c r="I800"/>
  <c r="J800"/>
  <c r="I799"/>
  <c r="J799"/>
  <c r="F804"/>
  <c r="G804"/>
  <c r="I797"/>
  <c r="J797"/>
  <c r="F797"/>
  <c r="F644"/>
  <c r="I644"/>
  <c r="F618"/>
  <c r="G618"/>
  <c r="I618"/>
  <c r="J618"/>
  <c r="F906"/>
  <c r="G906"/>
  <c r="F905"/>
  <c r="G905"/>
  <c r="F904"/>
  <c r="G904"/>
  <c r="F903"/>
  <c r="G903"/>
  <c r="F902"/>
  <c r="G902"/>
  <c r="F901"/>
  <c r="G901"/>
  <c r="F900"/>
  <c r="G900"/>
  <c r="F898"/>
  <c r="G898"/>
  <c r="F897"/>
  <c r="G897"/>
  <c r="F896"/>
  <c r="G896"/>
  <c r="F895"/>
  <c r="G895"/>
  <c r="F894"/>
  <c r="G894"/>
  <c r="F893"/>
  <c r="G893"/>
  <c r="F892"/>
  <c r="G892"/>
  <c r="F891"/>
  <c r="G891"/>
  <c r="F890"/>
  <c r="G890"/>
  <c r="F889"/>
  <c r="G889"/>
  <c r="F888"/>
  <c r="G888"/>
  <c r="F887"/>
  <c r="G887"/>
  <c r="F886"/>
  <c r="G886"/>
  <c r="F885"/>
  <c r="G885"/>
  <c r="F884"/>
  <c r="G884"/>
  <c r="F883"/>
  <c r="G883"/>
  <c r="F882"/>
  <c r="G882"/>
  <c r="F881"/>
  <c r="G881"/>
  <c r="F880"/>
  <c r="G880"/>
  <c r="F879"/>
  <c r="G879"/>
  <c r="F878"/>
  <c r="G878"/>
  <c r="F877"/>
  <c r="G877"/>
  <c r="F876"/>
  <c r="G876"/>
  <c r="F875"/>
  <c r="G875"/>
  <c r="F874"/>
  <c r="G874"/>
  <c r="F873"/>
  <c r="G873"/>
  <c r="F872"/>
  <c r="G872"/>
  <c r="F871"/>
  <c r="G871"/>
  <c r="F870"/>
  <c r="G870"/>
  <c r="F869"/>
  <c r="G869"/>
  <c r="F868"/>
  <c r="G868"/>
  <c r="F867"/>
  <c r="G867"/>
  <c r="F866"/>
  <c r="G866"/>
  <c r="F865"/>
  <c r="G865"/>
  <c r="F864"/>
  <c r="G864"/>
  <c r="F863"/>
  <c r="G863"/>
  <c r="F862"/>
  <c r="G862"/>
  <c r="F861"/>
  <c r="G861"/>
  <c r="F860"/>
  <c r="G860"/>
  <c r="F859"/>
  <c r="G859"/>
  <c r="F858"/>
  <c r="G858"/>
  <c r="F857"/>
  <c r="G857"/>
  <c r="F856"/>
  <c r="G856"/>
  <c r="F855"/>
  <c r="G855"/>
  <c r="F854"/>
  <c r="G854"/>
  <c r="F853"/>
  <c r="G853"/>
  <c r="F852"/>
  <c r="G852"/>
  <c r="F851"/>
  <c r="G851"/>
  <c r="F850"/>
  <c r="G850"/>
  <c r="F849"/>
  <c r="G849"/>
  <c r="F848"/>
  <c r="G848"/>
  <c r="F847"/>
  <c r="G847"/>
  <c r="F846"/>
  <c r="G846"/>
  <c r="F845"/>
  <c r="G845"/>
  <c r="F844"/>
  <c r="G844"/>
  <c r="F843"/>
  <c r="G843"/>
  <c r="F842"/>
  <c r="G842"/>
  <c r="F841"/>
  <c r="G841"/>
  <c r="F840"/>
  <c r="G840"/>
  <c r="F839"/>
  <c r="G839"/>
  <c r="F838"/>
  <c r="G838"/>
  <c r="F837"/>
  <c r="G837"/>
  <c r="F836"/>
  <c r="G836"/>
  <c r="F835"/>
  <c r="G835"/>
  <c r="F834"/>
  <c r="G834"/>
  <c r="F833"/>
  <c r="G833"/>
  <c r="F832"/>
  <c r="G832"/>
  <c r="F831"/>
  <c r="G831"/>
  <c r="F830"/>
  <c r="G830"/>
  <c r="F829"/>
  <c r="G829"/>
  <c r="F828"/>
  <c r="G828"/>
  <c r="F827"/>
  <c r="G827"/>
  <c r="F826"/>
  <c r="G826"/>
  <c r="F825"/>
  <c r="G825"/>
  <c r="F824"/>
  <c r="G824"/>
  <c r="F823"/>
  <c r="G823"/>
  <c r="F822"/>
  <c r="G822"/>
  <c r="F821"/>
  <c r="G821"/>
  <c r="F820"/>
  <c r="G820"/>
  <c r="F819"/>
  <c r="G819"/>
  <c r="F818"/>
  <c r="G818"/>
  <c r="F817"/>
  <c r="G817"/>
  <c r="F816"/>
  <c r="G816"/>
  <c r="F815"/>
  <c r="G815"/>
  <c r="F814"/>
  <c r="G814"/>
  <c r="F813"/>
  <c r="G813"/>
  <c r="F812"/>
  <c r="G812"/>
  <c r="F811"/>
  <c r="G811"/>
  <c r="F810"/>
  <c r="G810"/>
  <c r="F809"/>
  <c r="G809"/>
  <c r="F808"/>
  <c r="G808"/>
  <c r="F807"/>
  <c r="G807"/>
  <c r="F806"/>
  <c r="G806"/>
  <c r="F805"/>
  <c r="G805"/>
  <c r="F803"/>
  <c r="G803"/>
  <c r="F802"/>
  <c r="G802"/>
  <c r="F801"/>
  <c r="G801"/>
  <c r="F800"/>
  <c r="G800"/>
  <c r="F799"/>
  <c r="G799"/>
  <c r="F798"/>
  <c r="G798"/>
  <c r="G797"/>
  <c r="F796"/>
  <c r="G796"/>
  <c r="F795"/>
  <c r="G795"/>
  <c r="F794"/>
  <c r="G794"/>
  <c r="F793"/>
  <c r="G793"/>
  <c r="F792"/>
  <c r="G792"/>
  <c r="F791"/>
  <c r="G791"/>
  <c r="F790"/>
  <c r="G790"/>
  <c r="F789"/>
  <c r="G789"/>
  <c r="F788"/>
  <c r="G788"/>
  <c r="F787"/>
  <c r="G787"/>
  <c r="F786"/>
  <c r="G786"/>
  <c r="F785"/>
  <c r="G785"/>
  <c r="F784"/>
  <c r="G784"/>
  <c r="F783"/>
  <c r="G783"/>
  <c r="F782"/>
  <c r="G782"/>
  <c r="F781"/>
  <c r="G781"/>
  <c r="F780"/>
  <c r="G780"/>
  <c r="F779"/>
  <c r="G779"/>
  <c r="F778"/>
  <c r="G778"/>
  <c r="F777"/>
  <c r="G777"/>
  <c r="F776"/>
  <c r="G776"/>
  <c r="F775"/>
  <c r="G775"/>
  <c r="F774"/>
  <c r="G774"/>
  <c r="F773"/>
  <c r="G773"/>
  <c r="F772"/>
  <c r="G772"/>
  <c r="F771"/>
  <c r="G771"/>
  <c r="F770"/>
  <c r="G770"/>
  <c r="F769"/>
  <c r="G769"/>
  <c r="F768"/>
  <c r="G768"/>
  <c r="F767"/>
  <c r="G767"/>
  <c r="F766"/>
  <c r="G766"/>
  <c r="F765"/>
  <c r="G765"/>
  <c r="F764"/>
  <c r="G764"/>
  <c r="F763"/>
  <c r="G763"/>
  <c r="F762"/>
  <c r="G762"/>
  <c r="F761"/>
  <c r="G761"/>
  <c r="F760"/>
  <c r="G760"/>
  <c r="F759"/>
  <c r="G759"/>
  <c r="F758"/>
  <c r="G758"/>
  <c r="F757"/>
  <c r="G757"/>
  <c r="F756"/>
  <c r="G756"/>
  <c r="F755"/>
  <c r="G755"/>
  <c r="F754"/>
  <c r="G754"/>
  <c r="F753"/>
  <c r="G753"/>
  <c r="F752"/>
  <c r="G752"/>
  <c r="F751"/>
  <c r="G751"/>
  <c r="F750"/>
  <c r="G750"/>
  <c r="F749"/>
  <c r="G749"/>
  <c r="F748"/>
  <c r="G748"/>
  <c r="F747"/>
  <c r="G747"/>
  <c r="F746"/>
  <c r="G746"/>
  <c r="F745"/>
  <c r="G745"/>
  <c r="F744"/>
  <c r="G744"/>
  <c r="F743"/>
  <c r="G743"/>
  <c r="F742"/>
  <c r="G742"/>
  <c r="F741"/>
  <c r="G741"/>
  <c r="F740"/>
  <c r="G740"/>
  <c r="F739"/>
  <c r="G739"/>
  <c r="F738"/>
  <c r="G738"/>
  <c r="F737"/>
  <c r="G737"/>
  <c r="F736"/>
  <c r="G736"/>
  <c r="F735"/>
  <c r="G735"/>
  <c r="F734"/>
  <c r="G734"/>
  <c r="F733"/>
  <c r="G733"/>
  <c r="F732"/>
  <c r="G732"/>
  <c r="F731"/>
  <c r="G731"/>
  <c r="F730"/>
  <c r="G730"/>
  <c r="F729"/>
  <c r="G729"/>
  <c r="F728"/>
  <c r="G728"/>
  <c r="F727"/>
  <c r="G727"/>
  <c r="F726"/>
  <c r="G726"/>
  <c r="F725"/>
  <c r="G725"/>
  <c r="F724"/>
  <c r="G724"/>
  <c r="F723"/>
  <c r="G723"/>
  <c r="F722"/>
  <c r="G722"/>
  <c r="F721"/>
  <c r="G721"/>
  <c r="F720"/>
  <c r="G720"/>
  <c r="F719"/>
  <c r="G719"/>
  <c r="F718"/>
  <c r="G718"/>
  <c r="F717"/>
  <c r="G717"/>
  <c r="F716"/>
  <c r="G716"/>
  <c r="F715"/>
  <c r="G715"/>
  <c r="F714"/>
  <c r="G714"/>
  <c r="F713"/>
  <c r="G713"/>
  <c r="F712"/>
  <c r="G712"/>
  <c r="F711"/>
  <c r="G711"/>
  <c r="F710"/>
  <c r="G710"/>
  <c r="F709"/>
  <c r="G709"/>
  <c r="F708"/>
  <c r="G708"/>
  <c r="F707"/>
  <c r="G707"/>
  <c r="F706"/>
  <c r="G706"/>
  <c r="F705"/>
  <c r="G705"/>
  <c r="F704"/>
  <c r="G704"/>
  <c r="F703"/>
  <c r="G703"/>
  <c r="F702"/>
  <c r="G702"/>
  <c r="F701"/>
  <c r="G701"/>
  <c r="F700"/>
  <c r="G700"/>
  <c r="F699"/>
  <c r="G699"/>
  <c r="F698"/>
  <c r="G698"/>
  <c r="F697"/>
  <c r="G697"/>
  <c r="F696"/>
  <c r="G696"/>
  <c r="F695"/>
  <c r="G695"/>
  <c r="F694"/>
  <c r="G694"/>
  <c r="F693"/>
  <c r="G693"/>
  <c r="F692"/>
  <c r="G692"/>
  <c r="F691"/>
  <c r="G691"/>
  <c r="F690"/>
  <c r="G690"/>
  <c r="F689"/>
  <c r="G689"/>
  <c r="F688"/>
  <c r="G688"/>
  <c r="F687"/>
  <c r="G687"/>
  <c r="F685"/>
  <c r="G685"/>
  <c r="F684"/>
  <c r="G684"/>
  <c r="F683"/>
  <c r="G683"/>
  <c r="F682"/>
  <c r="G682"/>
  <c r="F681"/>
  <c r="G681"/>
  <c r="F680"/>
  <c r="G680"/>
  <c r="F679"/>
  <c r="G679"/>
  <c r="F675"/>
  <c r="G675"/>
  <c r="F674"/>
  <c r="G674"/>
  <c r="F672"/>
  <c r="G672"/>
  <c r="F677"/>
  <c r="G677"/>
  <c r="F671"/>
  <c r="G671"/>
  <c r="F673"/>
  <c r="G673"/>
  <c r="F678"/>
  <c r="G678"/>
  <c r="F670"/>
  <c r="G670"/>
  <c r="F676"/>
  <c r="G676"/>
  <c r="F669"/>
  <c r="G669"/>
  <c r="F668"/>
  <c r="G668"/>
  <c r="F665"/>
  <c r="G665"/>
  <c r="F666"/>
  <c r="G666"/>
  <c r="F664"/>
  <c r="G664"/>
  <c r="F663"/>
  <c r="G663"/>
  <c r="F662"/>
  <c r="G662"/>
  <c r="F661"/>
  <c r="G661"/>
  <c r="F660"/>
  <c r="G660"/>
  <c r="F659"/>
  <c r="G659"/>
  <c r="F658"/>
  <c r="G658"/>
  <c r="F657"/>
  <c r="G657"/>
  <c r="F656"/>
  <c r="G656"/>
  <c r="F640"/>
  <c r="G640"/>
  <c r="F648"/>
  <c r="G648"/>
  <c r="F624"/>
  <c r="G624"/>
  <c r="F625"/>
  <c r="G625"/>
  <c r="F620"/>
  <c r="G620"/>
  <c r="F621"/>
  <c r="G621"/>
  <c r="F614"/>
  <c r="G614"/>
  <c r="F615"/>
  <c r="G615"/>
  <c r="F633"/>
  <c r="G633"/>
  <c r="F634"/>
  <c r="G634"/>
  <c r="F628"/>
  <c r="G628"/>
  <c r="F639"/>
  <c r="G639"/>
  <c r="F638"/>
  <c r="G638"/>
  <c r="F643"/>
  <c r="G643"/>
  <c r="F650"/>
  <c r="G650"/>
  <c r="F619"/>
  <c r="G619"/>
  <c r="F647"/>
  <c r="G647"/>
  <c r="F627"/>
  <c r="G627"/>
  <c r="F630"/>
  <c r="G630"/>
  <c r="F629"/>
  <c r="G629"/>
  <c r="F616"/>
  <c r="G616"/>
  <c r="F617"/>
  <c r="G617"/>
  <c r="F622"/>
  <c r="G622"/>
  <c r="F655"/>
  <c r="G655"/>
  <c r="F652"/>
  <c r="G652"/>
  <c r="F637"/>
  <c r="G637"/>
  <c r="F641"/>
  <c r="G641"/>
  <c r="F635"/>
  <c r="G635"/>
  <c r="F636"/>
  <c r="G636"/>
  <c r="F642"/>
  <c r="G642"/>
  <c r="F623"/>
  <c r="G623"/>
  <c r="F626"/>
  <c r="G626"/>
  <c r="F654"/>
  <c r="G654"/>
  <c r="F649"/>
  <c r="G649"/>
  <c r="F651"/>
  <c r="G651"/>
  <c r="F646"/>
  <c r="G646"/>
  <c r="F631"/>
  <c r="G631"/>
  <c r="F653"/>
  <c r="G653"/>
  <c r="G644"/>
  <c r="F632"/>
  <c r="G632"/>
  <c r="F645"/>
  <c r="G645"/>
  <c r="F613"/>
  <c r="G613"/>
  <c r="F612"/>
  <c r="G612"/>
  <c r="F611"/>
  <c r="G611"/>
  <c r="F610"/>
  <c r="G610"/>
  <c r="F609"/>
  <c r="G609"/>
  <c r="F608"/>
  <c r="G608"/>
  <c r="F607"/>
  <c r="G607"/>
  <c r="F606"/>
  <c r="G606"/>
  <c r="F605"/>
  <c r="G605"/>
  <c r="F604"/>
  <c r="G604"/>
  <c r="F603"/>
  <c r="G603"/>
  <c r="F602"/>
  <c r="G602"/>
  <c r="F601"/>
  <c r="G601"/>
  <c r="I875"/>
  <c r="J875"/>
  <c r="I874"/>
  <c r="J874"/>
  <c r="I873"/>
  <c r="J873"/>
  <c r="I872"/>
  <c r="J872"/>
  <c r="I871"/>
  <c r="J871"/>
  <c r="I870"/>
  <c r="J870"/>
  <c r="I869"/>
  <c r="J869"/>
  <c r="I868"/>
  <c r="J868"/>
  <c r="I867"/>
  <c r="J867"/>
  <c r="I866"/>
  <c r="J866"/>
  <c r="I865"/>
  <c r="J865"/>
  <c r="I864"/>
  <c r="J864"/>
  <c r="I863"/>
  <c r="J863"/>
  <c r="I862"/>
  <c r="J862"/>
  <c r="I861"/>
  <c r="J861"/>
  <c r="I860"/>
  <c r="J860"/>
  <c r="I859"/>
  <c r="J859"/>
  <c r="I858"/>
  <c r="J858"/>
  <c r="I857"/>
  <c r="J857"/>
  <c r="I856"/>
  <c r="J856"/>
  <c r="I855"/>
  <c r="J855"/>
  <c r="I854"/>
  <c r="J854"/>
  <c r="I853"/>
  <c r="J853"/>
  <c r="I852"/>
  <c r="J852"/>
  <c r="I851"/>
  <c r="J851"/>
  <c r="I850"/>
  <c r="J850"/>
  <c r="I849"/>
  <c r="J849"/>
  <c r="I848"/>
  <c r="J848"/>
  <c r="I847"/>
  <c r="J847"/>
  <c r="I846"/>
  <c r="J846"/>
  <c r="I845"/>
  <c r="J845"/>
  <c r="I844"/>
  <c r="J844"/>
  <c r="I843"/>
  <c r="J843"/>
  <c r="I842"/>
  <c r="J842"/>
  <c r="I841"/>
  <c r="J841"/>
  <c r="I840"/>
  <c r="J840"/>
  <c r="I839"/>
  <c r="J839"/>
  <c r="I838"/>
  <c r="J838"/>
  <c r="I837"/>
  <c r="J837"/>
  <c r="I836"/>
  <c r="J836"/>
  <c r="I835"/>
  <c r="J835"/>
  <c r="I834"/>
  <c r="J834"/>
  <c r="I833"/>
  <c r="J833"/>
  <c r="I832"/>
  <c r="J832"/>
  <c r="I831"/>
  <c r="J831"/>
  <c r="I830"/>
  <c r="J830"/>
  <c r="I829"/>
  <c r="J829"/>
  <c r="I828"/>
  <c r="J828"/>
  <c r="I827"/>
  <c r="J827"/>
  <c r="I826"/>
  <c r="J826"/>
  <c r="I825"/>
  <c r="J825"/>
  <c r="I824"/>
  <c r="J824"/>
  <c r="I823"/>
  <c r="J823"/>
  <c r="I822"/>
  <c r="J822"/>
  <c r="I821"/>
  <c r="J821"/>
  <c r="I820"/>
  <c r="J820"/>
  <c r="I819"/>
  <c r="J819"/>
  <c r="I818"/>
  <c r="J818"/>
  <c r="I817"/>
  <c r="J817"/>
  <c r="I816"/>
  <c r="J816"/>
  <c r="I815"/>
  <c r="J815"/>
  <c r="I814"/>
  <c r="J814"/>
  <c r="I813"/>
  <c r="J813"/>
  <c r="I812"/>
  <c r="J812"/>
  <c r="I811"/>
  <c r="J811"/>
  <c r="I810"/>
  <c r="J810"/>
  <c r="I809"/>
  <c r="J809"/>
  <c r="I808"/>
  <c r="J808"/>
  <c r="I807"/>
  <c r="J807"/>
  <c r="I806"/>
  <c r="J806"/>
  <c r="I805"/>
  <c r="J805"/>
  <c r="I804"/>
  <c r="J804"/>
  <c r="I803"/>
  <c r="J803"/>
  <c r="I798"/>
  <c r="J798"/>
  <c r="I796"/>
  <c r="J796"/>
  <c r="I795"/>
  <c r="J795"/>
  <c r="I794"/>
  <c r="J794"/>
  <c r="I793"/>
  <c r="J793"/>
  <c r="I792"/>
  <c r="J792"/>
  <c r="I791"/>
  <c r="J791"/>
  <c r="I790"/>
  <c r="J790"/>
  <c r="I789"/>
  <c r="J789"/>
  <c r="I788"/>
  <c r="J788"/>
  <c r="I787"/>
  <c r="J787"/>
  <c r="I786"/>
  <c r="J786"/>
  <c r="I785"/>
  <c r="J785"/>
  <c r="I784"/>
  <c r="J784"/>
  <c r="I783"/>
  <c r="J783"/>
  <c r="I782"/>
  <c r="J782"/>
  <c r="I781"/>
  <c r="J781"/>
  <c r="I780"/>
  <c r="J780"/>
  <c r="I779"/>
  <c r="J779"/>
  <c r="I778"/>
  <c r="J778"/>
  <c r="I777"/>
  <c r="J777"/>
  <c r="I776"/>
  <c r="J776"/>
  <c r="I775"/>
  <c r="J775"/>
  <c r="I774"/>
  <c r="J774"/>
  <c r="I773"/>
  <c r="J773"/>
  <c r="I772"/>
  <c r="J772"/>
  <c r="I771"/>
  <c r="J771"/>
  <c r="I770"/>
  <c r="J770"/>
  <c r="I769"/>
  <c r="J769"/>
  <c r="I768"/>
  <c r="J768"/>
  <c r="I767"/>
  <c r="J767"/>
  <c r="I766"/>
  <c r="J766"/>
  <c r="I765"/>
  <c r="J765"/>
  <c r="I764"/>
  <c r="J764"/>
  <c r="I763"/>
  <c r="J763"/>
  <c r="I762"/>
  <c r="J762"/>
  <c r="I761"/>
  <c r="J761"/>
  <c r="I760"/>
  <c r="J760"/>
  <c r="I759"/>
  <c r="J759"/>
  <c r="I758"/>
  <c r="J758"/>
  <c r="I757"/>
  <c r="J757"/>
  <c r="I756"/>
  <c r="J756"/>
  <c r="I755"/>
  <c r="J755"/>
  <c r="I754"/>
  <c r="J754"/>
  <c r="I753"/>
  <c r="J753"/>
  <c r="I752"/>
  <c r="J752"/>
  <c r="I751"/>
  <c r="J751"/>
  <c r="I750"/>
  <c r="J750"/>
  <c r="I749"/>
  <c r="J749"/>
  <c r="I748"/>
  <c r="J748"/>
  <c r="I747"/>
  <c r="J747"/>
  <c r="I746"/>
  <c r="J746"/>
  <c r="I745"/>
  <c r="J745"/>
  <c r="I744"/>
  <c r="J744"/>
  <c r="I743"/>
  <c r="J743"/>
  <c r="I742"/>
  <c r="J742"/>
  <c r="I741"/>
  <c r="J741"/>
  <c r="I740"/>
  <c r="J740"/>
  <c r="I739"/>
  <c r="J739"/>
  <c r="I738"/>
  <c r="J738"/>
  <c r="I737"/>
  <c r="J737"/>
  <c r="I736"/>
  <c r="J736"/>
  <c r="I735"/>
  <c r="J735"/>
  <c r="I734"/>
  <c r="J734"/>
  <c r="I733"/>
  <c r="J733"/>
  <c r="I732"/>
  <c r="J732"/>
  <c r="I731"/>
  <c r="J731"/>
  <c r="I730"/>
  <c r="J730"/>
  <c r="I729"/>
  <c r="J729"/>
  <c r="I728"/>
  <c r="J728"/>
  <c r="I727"/>
  <c r="J727"/>
  <c r="I726"/>
  <c r="J726"/>
  <c r="I725"/>
  <c r="J725"/>
  <c r="I724"/>
  <c r="J724"/>
  <c r="I723"/>
  <c r="J723"/>
  <c r="I722"/>
  <c r="J722"/>
  <c r="I721"/>
  <c r="J721"/>
  <c r="I720"/>
  <c r="J720"/>
  <c r="I719"/>
  <c r="J719"/>
  <c r="I718"/>
  <c r="J718"/>
  <c r="I717"/>
  <c r="J717"/>
  <c r="I716"/>
  <c r="J716"/>
  <c r="I715"/>
  <c r="J715"/>
  <c r="I714"/>
  <c r="J714"/>
  <c r="I713"/>
  <c r="J713"/>
  <c r="I712"/>
  <c r="J712"/>
  <c r="I711"/>
  <c r="J711"/>
  <c r="I710"/>
  <c r="J710"/>
  <c r="I709"/>
  <c r="J709"/>
  <c r="I708"/>
  <c r="J708"/>
  <c r="I707"/>
  <c r="J707"/>
  <c r="I706"/>
  <c r="J706"/>
  <c r="I705"/>
  <c r="J705"/>
  <c r="I704"/>
  <c r="J704"/>
  <c r="I703"/>
  <c r="J703"/>
  <c r="I702"/>
  <c r="J702"/>
  <c r="I701"/>
  <c r="J701"/>
  <c r="I700"/>
  <c r="J700"/>
  <c r="I699"/>
  <c r="J699"/>
  <c r="I698"/>
  <c r="J698"/>
  <c r="I697"/>
  <c r="J697"/>
  <c r="I696"/>
  <c r="J696"/>
  <c r="I695"/>
  <c r="J695"/>
  <c r="I694"/>
  <c r="J694"/>
  <c r="I693"/>
  <c r="J693"/>
  <c r="I692"/>
  <c r="J692"/>
  <c r="I691"/>
  <c r="J691"/>
  <c r="I690"/>
  <c r="J690"/>
  <c r="I689"/>
  <c r="J689"/>
  <c r="I688"/>
  <c r="J688"/>
  <c r="I687"/>
  <c r="J687"/>
  <c r="I685"/>
  <c r="J685"/>
  <c r="I684"/>
  <c r="J684"/>
  <c r="I683"/>
  <c r="J683"/>
  <c r="I682"/>
  <c r="J682"/>
  <c r="I681"/>
  <c r="J681"/>
  <c r="I680"/>
  <c r="J680"/>
  <c r="I679"/>
  <c r="J679"/>
  <c r="I675"/>
  <c r="J675"/>
  <c r="I674"/>
  <c r="J674"/>
  <c r="I672"/>
  <c r="J672"/>
  <c r="I677"/>
  <c r="J677"/>
  <c r="I671"/>
  <c r="J671"/>
  <c r="I673"/>
  <c r="J673"/>
  <c r="I678"/>
  <c r="J678"/>
  <c r="I670"/>
  <c r="J670"/>
  <c r="I676"/>
  <c r="J676"/>
  <c r="I669"/>
  <c r="J669"/>
  <c r="I668"/>
  <c r="J668"/>
  <c r="I665"/>
  <c r="J665"/>
  <c r="I666"/>
  <c r="J666"/>
  <c r="I664"/>
  <c r="J664"/>
  <c r="I663"/>
  <c r="J663"/>
  <c r="I662"/>
  <c r="J662"/>
  <c r="I661"/>
  <c r="J661"/>
  <c r="I660"/>
  <c r="J660"/>
  <c r="I659"/>
  <c r="J659"/>
  <c r="I658"/>
  <c r="J658"/>
  <c r="I657"/>
  <c r="J657"/>
  <c r="I656"/>
  <c r="J656"/>
  <c r="I640"/>
  <c r="J640"/>
  <c r="I648"/>
  <c r="J648"/>
  <c r="I624"/>
  <c r="J624"/>
  <c r="I625"/>
  <c r="J625"/>
  <c r="I620"/>
  <c r="J620"/>
  <c r="I621"/>
  <c r="J621"/>
  <c r="I614"/>
  <c r="J614"/>
  <c r="I615"/>
  <c r="J615"/>
  <c r="I633"/>
  <c r="J633"/>
  <c r="I634"/>
  <c r="J634"/>
  <c r="I628"/>
  <c r="J628"/>
  <c r="I639"/>
  <c r="J639"/>
  <c r="I638"/>
  <c r="J638"/>
  <c r="I643"/>
  <c r="J643"/>
  <c r="I650"/>
  <c r="J650"/>
  <c r="I619"/>
  <c r="J619"/>
  <c r="F557"/>
  <c r="G557"/>
  <c r="I557"/>
  <c r="J557"/>
  <c r="F600"/>
  <c r="F582"/>
  <c r="F583"/>
  <c r="F589"/>
  <c r="F590"/>
  <c r="F595"/>
  <c r="F598"/>
  <c r="F587"/>
  <c r="F596"/>
  <c r="F588"/>
  <c r="F584"/>
  <c r="F576"/>
  <c r="F586"/>
  <c r="F599"/>
  <c r="F591"/>
  <c r="F593"/>
  <c r="F594"/>
  <c r="F585"/>
  <c r="F597"/>
  <c r="F574"/>
  <c r="F575"/>
  <c r="F577"/>
  <c r="F580"/>
  <c r="F578"/>
  <c r="F579"/>
  <c r="F581"/>
  <c r="F592"/>
  <c r="F573"/>
  <c r="F564"/>
  <c r="F565"/>
  <c r="F563"/>
  <c r="F562"/>
  <c r="F571"/>
  <c r="F561"/>
  <c r="F560"/>
  <c r="F567"/>
  <c r="F568"/>
  <c r="F570"/>
  <c r="F556"/>
  <c r="F572"/>
  <c r="F559"/>
  <c r="F569"/>
  <c r="F566"/>
  <c r="F558"/>
  <c r="F555"/>
  <c r="F554"/>
  <c r="F552"/>
  <c r="F553"/>
  <c r="F548"/>
  <c r="F551"/>
  <c r="F549"/>
  <c r="F547"/>
  <c r="F546"/>
  <c r="F550"/>
  <c r="F545"/>
  <c r="F544"/>
  <c r="F543"/>
  <c r="F535"/>
  <c r="F542"/>
  <c r="F541"/>
  <c r="F537"/>
  <c r="F536"/>
  <c r="F539"/>
  <c r="F509"/>
  <c r="G509"/>
  <c r="I509"/>
  <c r="J509"/>
  <c r="I485"/>
  <c r="J485"/>
  <c r="F485"/>
  <c r="G485"/>
  <c r="I486"/>
  <c r="J486"/>
  <c r="I484"/>
  <c r="J484"/>
  <c r="I483"/>
  <c r="F486"/>
  <c r="G486"/>
  <c r="F484"/>
  <c r="G484"/>
  <c r="F483"/>
  <c r="G483"/>
  <c r="I400"/>
  <c r="J400"/>
  <c r="F400"/>
  <c r="G400"/>
  <c r="I647"/>
  <c r="J647"/>
  <c r="I627"/>
  <c r="J627"/>
  <c r="I630"/>
  <c r="J630"/>
  <c r="I629"/>
  <c r="J629"/>
  <c r="I616"/>
  <c r="J616"/>
  <c r="I617"/>
  <c r="J617"/>
  <c r="I622"/>
  <c r="J622"/>
  <c r="I655"/>
  <c r="J655"/>
  <c r="I652"/>
  <c r="J652"/>
  <c r="I637"/>
  <c r="J637"/>
  <c r="I641"/>
  <c r="J641"/>
  <c r="I635"/>
  <c r="J635"/>
  <c r="I636"/>
  <c r="J636"/>
  <c r="I642"/>
  <c r="J642"/>
  <c r="I623"/>
  <c r="J623"/>
  <c r="I626"/>
  <c r="J626"/>
  <c r="I654"/>
  <c r="J654"/>
  <c r="I649"/>
  <c r="J649"/>
  <c r="I651"/>
  <c r="J651"/>
  <c r="I646"/>
  <c r="J646"/>
  <c r="I631"/>
  <c r="J631"/>
  <c r="I653"/>
  <c r="J653"/>
  <c r="J644"/>
  <c r="I632"/>
  <c r="J632"/>
  <c r="I645"/>
  <c r="J645"/>
  <c r="I613"/>
  <c r="J613"/>
  <c r="I612"/>
  <c r="J612"/>
  <c r="I606"/>
  <c r="J606"/>
  <c r="I607"/>
  <c r="J607"/>
  <c r="I609"/>
  <c r="J609"/>
  <c r="I611"/>
  <c r="J611"/>
  <c r="I610"/>
  <c r="J610"/>
  <c r="I608"/>
  <c r="J608"/>
  <c r="I605"/>
  <c r="J605"/>
  <c r="I603"/>
  <c r="J603"/>
  <c r="I604"/>
  <c r="J604"/>
  <c r="I602"/>
  <c r="J602"/>
  <c r="I601"/>
  <c r="J601"/>
  <c r="I600"/>
  <c r="J600"/>
  <c r="I582"/>
  <c r="J582"/>
  <c r="I583"/>
  <c r="J583"/>
  <c r="I589"/>
  <c r="J589"/>
  <c r="I590"/>
  <c r="J590"/>
  <c r="I595"/>
  <c r="J595"/>
  <c r="I598"/>
  <c r="J598"/>
  <c r="I587"/>
  <c r="J587"/>
  <c r="I596"/>
  <c r="J596"/>
  <c r="I588"/>
  <c r="J588"/>
  <c r="I584"/>
  <c r="J584"/>
  <c r="I576"/>
  <c r="J576"/>
  <c r="I586"/>
  <c r="J586"/>
  <c r="I599"/>
  <c r="J599"/>
  <c r="I591"/>
  <c r="J591"/>
  <c r="I593"/>
  <c r="J593"/>
  <c r="I594"/>
  <c r="J594"/>
  <c r="I585"/>
  <c r="J585"/>
  <c r="I597"/>
  <c r="J597"/>
  <c r="I574"/>
  <c r="J574"/>
  <c r="I575"/>
  <c r="J575"/>
  <c r="I577"/>
  <c r="J577"/>
  <c r="I580"/>
  <c r="J580"/>
  <c r="I578"/>
  <c r="J578"/>
  <c r="I579"/>
  <c r="J579"/>
  <c r="I581"/>
  <c r="J581"/>
  <c r="I592"/>
  <c r="J592"/>
  <c r="I573"/>
  <c r="J573"/>
  <c r="I564"/>
  <c r="J564"/>
  <c r="I565"/>
  <c r="J565"/>
  <c r="I563"/>
  <c r="J563"/>
  <c r="I562"/>
  <c r="J562"/>
  <c r="I571"/>
  <c r="J571"/>
  <c r="I561"/>
  <c r="J561"/>
  <c r="I560"/>
  <c r="J560"/>
  <c r="I567"/>
  <c r="J567"/>
  <c r="I568"/>
  <c r="J568"/>
  <c r="I570"/>
  <c r="J570"/>
  <c r="I556"/>
  <c r="J556"/>
  <c r="I572"/>
  <c r="J572"/>
  <c r="I559"/>
  <c r="J559"/>
  <c r="I569"/>
  <c r="J569"/>
  <c r="I566"/>
  <c r="J566"/>
  <c r="I558"/>
  <c r="J558"/>
  <c r="I555"/>
  <c r="J555"/>
  <c r="I554"/>
  <c r="J554"/>
  <c r="I552"/>
  <c r="J552"/>
  <c r="I553"/>
  <c r="J553"/>
  <c r="I548"/>
  <c r="J548"/>
  <c r="I551"/>
  <c r="J551"/>
  <c r="I549"/>
  <c r="J549"/>
  <c r="I547"/>
  <c r="J547"/>
  <c r="I546"/>
  <c r="J546"/>
  <c r="I550"/>
  <c r="J550"/>
  <c r="I545"/>
  <c r="J545"/>
  <c r="I544"/>
  <c r="J544"/>
  <c r="I543"/>
  <c r="J543"/>
  <c r="I535"/>
  <c r="J535"/>
  <c r="I542"/>
  <c r="J542"/>
  <c r="I541"/>
  <c r="J541"/>
  <c r="I537"/>
  <c r="J537"/>
  <c r="I536"/>
  <c r="J536"/>
  <c r="I539"/>
  <c r="J539"/>
  <c r="I538"/>
  <c r="J538"/>
  <c r="I540"/>
  <c r="J540"/>
  <c r="I534"/>
  <c r="J534"/>
  <c r="I533"/>
  <c r="J533"/>
  <c r="I532"/>
  <c r="J532"/>
  <c r="I531"/>
  <c r="J531"/>
  <c r="I530"/>
  <c r="J530"/>
  <c r="I529"/>
  <c r="J529"/>
  <c r="I528"/>
  <c r="J528"/>
  <c r="I527"/>
  <c r="J527"/>
  <c r="I526"/>
  <c r="J526"/>
  <c r="I525"/>
  <c r="J525"/>
  <c r="I524"/>
  <c r="J524"/>
  <c r="I521"/>
  <c r="J521"/>
  <c r="I520"/>
  <c r="J520"/>
  <c r="I522"/>
  <c r="J522"/>
  <c r="I519"/>
  <c r="J519"/>
  <c r="I518"/>
  <c r="J518"/>
  <c r="I507"/>
  <c r="J507"/>
  <c r="I508"/>
  <c r="J508"/>
  <c r="I506"/>
  <c r="J506"/>
  <c r="I512"/>
  <c r="J512"/>
  <c r="I517"/>
  <c r="J517"/>
  <c r="I516"/>
  <c r="J516"/>
  <c r="I513"/>
  <c r="J513"/>
  <c r="I515"/>
  <c r="J515"/>
  <c r="I505"/>
  <c r="J505"/>
  <c r="I514"/>
  <c r="J514"/>
  <c r="I511"/>
  <c r="J511"/>
  <c r="I510"/>
  <c r="J510"/>
  <c r="I504"/>
  <c r="J504"/>
  <c r="I503"/>
  <c r="J503"/>
  <c r="I502"/>
  <c r="J502"/>
  <c r="I501"/>
  <c r="J501"/>
  <c r="I500"/>
  <c r="J500"/>
  <c r="I499"/>
  <c r="J499"/>
  <c r="I498"/>
  <c r="J498"/>
  <c r="I497"/>
  <c r="J497"/>
  <c r="I496"/>
  <c r="J496"/>
  <c r="I495"/>
  <c r="J495"/>
  <c r="I494"/>
  <c r="J494"/>
  <c r="I493"/>
  <c r="J493"/>
  <c r="I492"/>
  <c r="J492"/>
  <c r="I491"/>
  <c r="J491"/>
  <c r="I490"/>
  <c r="J490"/>
  <c r="I489"/>
  <c r="J489"/>
  <c r="I488"/>
  <c r="J488"/>
  <c r="I487"/>
  <c r="J487"/>
  <c r="J483"/>
  <c r="I482"/>
  <c r="J482"/>
  <c r="I481"/>
  <c r="J481"/>
  <c r="I480"/>
  <c r="J480"/>
  <c r="I479"/>
  <c r="J479"/>
  <c r="I478"/>
  <c r="J478"/>
  <c r="I477"/>
  <c r="J477"/>
  <c r="I476"/>
  <c r="J476"/>
  <c r="I475"/>
  <c r="J475"/>
  <c r="I474"/>
  <c r="J474"/>
  <c r="I473"/>
  <c r="J473"/>
  <c r="I472"/>
  <c r="J472"/>
  <c r="I471"/>
  <c r="J471"/>
  <c r="I470"/>
  <c r="J470"/>
  <c r="I466"/>
  <c r="J466"/>
  <c r="I468"/>
  <c r="J468"/>
  <c r="I467"/>
  <c r="J467"/>
  <c r="I463"/>
  <c r="J463"/>
  <c r="I465"/>
  <c r="J465"/>
  <c r="I459"/>
  <c r="J459"/>
  <c r="I461"/>
  <c r="J461"/>
  <c r="I469"/>
  <c r="J469"/>
  <c r="I458"/>
  <c r="J458"/>
  <c r="I460"/>
  <c r="J460"/>
  <c r="I462"/>
  <c r="J462"/>
  <c r="I464"/>
  <c r="J464"/>
  <c r="I457"/>
  <c r="J457"/>
  <c r="I455"/>
  <c r="J455"/>
  <c r="I456"/>
  <c r="J456"/>
  <c r="I454"/>
  <c r="J454"/>
  <c r="I453"/>
  <c r="J453"/>
  <c r="I452"/>
  <c r="J452"/>
  <c r="I451"/>
  <c r="J451"/>
  <c r="I450"/>
  <c r="J450"/>
  <c r="I449"/>
  <c r="J449"/>
  <c r="I448"/>
  <c r="J448"/>
  <c r="I447"/>
  <c r="J447"/>
  <c r="I445"/>
  <c r="J445"/>
  <c r="I446"/>
  <c r="J446"/>
  <c r="I444"/>
  <c r="J444"/>
  <c r="I443"/>
  <c r="J443"/>
  <c r="I442"/>
  <c r="J442"/>
  <c r="I441"/>
  <c r="J441"/>
  <c r="I440"/>
  <c r="J440"/>
  <c r="I439"/>
  <c r="J439"/>
  <c r="I438"/>
  <c r="J438"/>
  <c r="I437"/>
  <c r="J437"/>
  <c r="I428"/>
  <c r="J428"/>
  <c r="I433"/>
  <c r="J433"/>
  <c r="I430"/>
  <c r="J430"/>
  <c r="I426"/>
  <c r="J426"/>
  <c r="I434"/>
  <c r="J434"/>
  <c r="I423"/>
  <c r="J423"/>
  <c r="I422"/>
  <c r="J422"/>
  <c r="I421"/>
  <c r="J421"/>
  <c r="I432"/>
  <c r="J432"/>
  <c r="I435"/>
  <c r="J435"/>
  <c r="I424"/>
  <c r="J424"/>
  <c r="I420"/>
  <c r="J420"/>
  <c r="I436"/>
  <c r="J436"/>
  <c r="I425"/>
  <c r="J425"/>
  <c r="I427"/>
  <c r="J427"/>
  <c r="I431"/>
  <c r="J431"/>
  <c r="I429"/>
  <c r="J429"/>
  <c r="I419"/>
  <c r="J419"/>
  <c r="I418"/>
  <c r="J418"/>
  <c r="I417"/>
  <c r="J417"/>
  <c r="I416"/>
  <c r="J416"/>
  <c r="I414"/>
  <c r="J414"/>
  <c r="I415"/>
  <c r="J415"/>
  <c r="I413"/>
  <c r="J413"/>
  <c r="I412"/>
  <c r="J412"/>
  <c r="I411"/>
  <c r="J411"/>
  <c r="I405"/>
  <c r="J405"/>
  <c r="I409"/>
  <c r="J409"/>
  <c r="I404"/>
  <c r="J404"/>
  <c r="I403"/>
  <c r="J403"/>
  <c r="I406"/>
  <c r="J406"/>
  <c r="I407"/>
  <c r="J407"/>
  <c r="I408"/>
  <c r="J408"/>
  <c r="I398"/>
  <c r="J398"/>
  <c r="I392"/>
  <c r="J392"/>
  <c r="I391"/>
  <c r="J391"/>
  <c r="I384"/>
  <c r="J384"/>
  <c r="I397"/>
  <c r="J397"/>
  <c r="I393"/>
  <c r="J393"/>
  <c r="I401"/>
  <c r="J401"/>
  <c r="I386"/>
  <c r="J386"/>
  <c r="I389"/>
  <c r="J389"/>
  <c r="I390"/>
  <c r="J390"/>
  <c r="I395"/>
  <c r="J395"/>
  <c r="I394"/>
  <c r="J394"/>
  <c r="I396"/>
  <c r="J396"/>
  <c r="I383"/>
  <c r="J383"/>
  <c r="I387"/>
  <c r="J387"/>
  <c r="I388"/>
  <c r="J388"/>
  <c r="I385"/>
  <c r="J385"/>
  <c r="I399"/>
  <c r="J399"/>
  <c r="I382"/>
  <c r="J382"/>
  <c r="I381"/>
  <c r="J381"/>
  <c r="I375"/>
  <c r="J375"/>
  <c r="I380"/>
  <c r="J380"/>
  <c r="I376"/>
  <c r="J376"/>
  <c r="I379"/>
  <c r="J379"/>
  <c r="I377"/>
  <c r="J377"/>
  <c r="I378"/>
  <c r="J378"/>
  <c r="I372"/>
  <c r="J372"/>
  <c r="I369"/>
  <c r="J369"/>
  <c r="I370"/>
  <c r="J370"/>
  <c r="I363"/>
  <c r="J363"/>
  <c r="I358"/>
  <c r="J358"/>
  <c r="I362"/>
  <c r="J362"/>
  <c r="I361"/>
  <c r="J361"/>
  <c r="I360"/>
  <c r="J360"/>
  <c r="I359"/>
  <c r="J359"/>
  <c r="I357"/>
  <c r="J357"/>
  <c r="I364"/>
  <c r="J364"/>
  <c r="I366"/>
  <c r="J366"/>
  <c r="I367"/>
  <c r="J367"/>
  <c r="I365"/>
  <c r="J365"/>
  <c r="I355"/>
  <c r="J355"/>
  <c r="I349"/>
  <c r="J349"/>
  <c r="I350"/>
  <c r="J350"/>
  <c r="I351"/>
  <c r="J351"/>
  <c r="I346"/>
  <c r="J346"/>
  <c r="I344"/>
  <c r="J344"/>
  <c r="I352"/>
  <c r="J352"/>
  <c r="I354"/>
  <c r="J354"/>
  <c r="I353"/>
  <c r="J353"/>
  <c r="I348"/>
  <c r="J348"/>
  <c r="I347"/>
  <c r="J347"/>
  <c r="I345"/>
  <c r="J345"/>
  <c r="I342"/>
  <c r="J342"/>
  <c r="I339"/>
  <c r="J339"/>
  <c r="I338"/>
  <c r="J338"/>
  <c r="I336"/>
  <c r="J336"/>
  <c r="I315"/>
  <c r="J315"/>
  <c r="I332"/>
  <c r="J332"/>
  <c r="I312"/>
  <c r="J312"/>
  <c r="I318"/>
  <c r="J318"/>
  <c r="I319"/>
  <c r="J319"/>
  <c r="I320"/>
  <c r="J320"/>
  <c r="I329"/>
  <c r="J329"/>
  <c r="I314"/>
  <c r="J314"/>
  <c r="I323"/>
  <c r="J323"/>
  <c r="I328"/>
  <c r="J328"/>
  <c r="I321"/>
  <c r="J321"/>
  <c r="I326"/>
  <c r="J326"/>
  <c r="I324"/>
  <c r="J324"/>
  <c r="I316"/>
  <c r="J316"/>
  <c r="I311"/>
  <c r="J311"/>
  <c r="I330"/>
  <c r="J330"/>
  <c r="I322"/>
  <c r="J322"/>
  <c r="I334"/>
  <c r="J334"/>
  <c r="I327"/>
  <c r="J327"/>
  <c r="I317"/>
  <c r="J317"/>
  <c r="I313"/>
  <c r="J313"/>
  <c r="I333"/>
  <c r="J333"/>
  <c r="I331"/>
  <c r="J331"/>
  <c r="I325"/>
  <c r="J325"/>
  <c r="G600"/>
  <c r="G582"/>
  <c r="G583"/>
  <c r="G589"/>
  <c r="G590"/>
  <c r="G595"/>
  <c r="G598"/>
  <c r="G587"/>
  <c r="G596"/>
  <c r="G588"/>
  <c r="G584"/>
  <c r="G576"/>
  <c r="G586"/>
  <c r="G599"/>
  <c r="G591"/>
  <c r="G593"/>
  <c r="G594"/>
  <c r="G585"/>
  <c r="G597"/>
  <c r="G574"/>
  <c r="G575"/>
  <c r="G577"/>
  <c r="G580"/>
  <c r="G578"/>
  <c r="G579"/>
  <c r="G581"/>
  <c r="G592"/>
  <c r="G573"/>
  <c r="G564"/>
  <c r="G565"/>
  <c r="G563"/>
  <c r="G562"/>
  <c r="G571"/>
  <c r="G561"/>
  <c r="G560"/>
  <c r="G567"/>
  <c r="G568"/>
  <c r="G570"/>
  <c r="G556"/>
  <c r="G572"/>
  <c r="G559"/>
  <c r="G569"/>
  <c r="G566"/>
  <c r="G558"/>
  <c r="G555"/>
  <c r="G554"/>
  <c r="G552"/>
  <c r="G553"/>
  <c r="G548"/>
  <c r="G551"/>
  <c r="G549"/>
  <c r="G547"/>
  <c r="G546"/>
  <c r="G550"/>
  <c r="G545"/>
  <c r="G544"/>
  <c r="G543"/>
  <c r="G535"/>
  <c r="G542"/>
  <c r="G541"/>
  <c r="G537"/>
  <c r="G536"/>
  <c r="G539"/>
  <c r="F538"/>
  <c r="G538"/>
  <c r="F540"/>
  <c r="G540"/>
  <c r="F534"/>
  <c r="G534"/>
  <c r="F533"/>
  <c r="G533"/>
  <c r="F532"/>
  <c r="G532"/>
  <c r="F531"/>
  <c r="G531"/>
  <c r="F530"/>
  <c r="G530"/>
  <c r="F529"/>
  <c r="G529"/>
  <c r="F528"/>
  <c r="G528"/>
  <c r="F527"/>
  <c r="G527"/>
  <c r="F526"/>
  <c r="G526"/>
  <c r="F525"/>
  <c r="G525"/>
  <c r="F524"/>
  <c r="G524"/>
  <c r="F521"/>
  <c r="G521"/>
  <c r="F520"/>
  <c r="G520"/>
  <c r="F522"/>
  <c r="G522"/>
  <c r="F519"/>
  <c r="G519"/>
  <c r="F518"/>
  <c r="G518"/>
  <c r="F507"/>
  <c r="G507"/>
  <c r="F508"/>
  <c r="G508"/>
  <c r="F506"/>
  <c r="G506"/>
  <c r="F512"/>
  <c r="G512"/>
  <c r="F517"/>
  <c r="G517"/>
  <c r="F516"/>
  <c r="G516"/>
  <c r="F513"/>
  <c r="G513"/>
  <c r="F515"/>
  <c r="G515"/>
  <c r="F505"/>
  <c r="G505"/>
  <c r="F514"/>
  <c r="G514"/>
  <c r="F511"/>
  <c r="G511"/>
  <c r="F510"/>
  <c r="G510"/>
  <c r="F504"/>
  <c r="G504"/>
  <c r="F503"/>
  <c r="G503"/>
  <c r="F502"/>
  <c r="G502"/>
  <c r="F501"/>
  <c r="G501"/>
  <c r="F500"/>
  <c r="G500"/>
  <c r="F499"/>
  <c r="G499"/>
  <c r="F498"/>
  <c r="G498"/>
  <c r="F497"/>
  <c r="G497"/>
  <c r="F496"/>
  <c r="G496"/>
  <c r="F495"/>
  <c r="G495"/>
  <c r="F494"/>
  <c r="G494"/>
  <c r="F493"/>
  <c r="G493"/>
  <c r="F492"/>
  <c r="G492"/>
  <c r="F491"/>
  <c r="G491"/>
  <c r="F490"/>
  <c r="G490"/>
  <c r="F489"/>
  <c r="G489"/>
  <c r="F488"/>
  <c r="G488"/>
  <c r="F487"/>
  <c r="G487"/>
  <c r="F482"/>
  <c r="G482"/>
  <c r="F481"/>
  <c r="G481"/>
  <c r="F480"/>
  <c r="G480"/>
  <c r="F479"/>
  <c r="G479"/>
  <c r="F478"/>
  <c r="G478"/>
  <c r="F477"/>
  <c r="G477"/>
  <c r="F476"/>
  <c r="G476"/>
  <c r="F475"/>
  <c r="G475"/>
  <c r="F474"/>
  <c r="G474"/>
  <c r="F473"/>
  <c r="G473"/>
  <c r="F472"/>
  <c r="G472"/>
  <c r="F471"/>
  <c r="G471"/>
  <c r="F470"/>
  <c r="G470"/>
  <c r="F466"/>
  <c r="G466"/>
  <c r="F468"/>
  <c r="G468"/>
  <c r="F467"/>
  <c r="G467"/>
  <c r="F463"/>
  <c r="G463"/>
  <c r="F465"/>
  <c r="G465"/>
  <c r="F459"/>
  <c r="G459"/>
  <c r="F461"/>
  <c r="G461"/>
  <c r="F469"/>
  <c r="G469"/>
  <c r="F458"/>
  <c r="G458"/>
  <c r="F460"/>
  <c r="G460"/>
  <c r="F462"/>
  <c r="G462"/>
  <c r="F464"/>
  <c r="G464"/>
  <c r="F457"/>
  <c r="G457"/>
  <c r="F455"/>
  <c r="G455"/>
  <c r="F456"/>
  <c r="G456"/>
  <c r="F454"/>
  <c r="G454"/>
  <c r="F453"/>
  <c r="G453"/>
  <c r="F452"/>
  <c r="G452"/>
  <c r="F451"/>
  <c r="G451"/>
  <c r="F450"/>
  <c r="G450"/>
  <c r="F449"/>
  <c r="G449"/>
  <c r="F448"/>
  <c r="G448"/>
  <c r="F447"/>
  <c r="G447"/>
  <c r="F445"/>
  <c r="G445"/>
  <c r="F446"/>
  <c r="G446"/>
  <c r="F444"/>
  <c r="G444"/>
  <c r="F443"/>
  <c r="G443"/>
  <c r="F442"/>
  <c r="G442"/>
  <c r="F441"/>
  <c r="G441"/>
  <c r="F440"/>
  <c r="G440"/>
  <c r="F439"/>
  <c r="G439"/>
  <c r="F438"/>
  <c r="G438"/>
  <c r="F437"/>
  <c r="G437"/>
  <c r="F428"/>
  <c r="G428"/>
  <c r="F433"/>
  <c r="G433"/>
  <c r="F430"/>
  <c r="G430"/>
  <c r="F426"/>
  <c r="G426"/>
  <c r="F434"/>
  <c r="G434"/>
  <c r="F423"/>
  <c r="G423"/>
  <c r="F422"/>
  <c r="G422"/>
  <c r="F421"/>
  <c r="G421"/>
  <c r="F432"/>
  <c r="G432"/>
  <c r="F435"/>
  <c r="G435"/>
  <c r="F424"/>
  <c r="G424"/>
  <c r="F420"/>
  <c r="G420"/>
  <c r="F436"/>
  <c r="G436"/>
  <c r="F425"/>
  <c r="G425"/>
  <c r="F427"/>
  <c r="G427"/>
  <c r="F431"/>
  <c r="G431"/>
  <c r="F429"/>
  <c r="G429"/>
  <c r="F419"/>
  <c r="G419"/>
  <c r="F418"/>
  <c r="G418"/>
  <c r="F417"/>
  <c r="G417"/>
  <c r="F416"/>
  <c r="G416"/>
  <c r="F414"/>
  <c r="G414"/>
  <c r="F415"/>
  <c r="G415"/>
  <c r="F413"/>
  <c r="G413"/>
  <c r="F412"/>
  <c r="G412"/>
  <c r="F411"/>
  <c r="G411"/>
  <c r="F405"/>
  <c r="G405"/>
  <c r="F409"/>
  <c r="G409"/>
  <c r="F404"/>
  <c r="G404"/>
  <c r="F403"/>
  <c r="G403"/>
  <c r="F406"/>
  <c r="G406"/>
  <c r="F407"/>
  <c r="G407"/>
  <c r="F408"/>
  <c r="G408"/>
  <c r="F398"/>
  <c r="G398"/>
  <c r="F392"/>
  <c r="G392"/>
  <c r="F391"/>
  <c r="G391"/>
  <c r="F384"/>
  <c r="G384"/>
  <c r="F397"/>
  <c r="G397"/>
  <c r="F393"/>
  <c r="G393"/>
  <c r="F401"/>
  <c r="G401"/>
  <c r="F386"/>
  <c r="G386"/>
  <c r="F389"/>
  <c r="G389"/>
  <c r="F390"/>
  <c r="G390"/>
  <c r="F395"/>
  <c r="G395"/>
  <c r="F394"/>
  <c r="G394"/>
  <c r="F396"/>
  <c r="G396"/>
  <c r="F383"/>
  <c r="G383"/>
  <c r="F387"/>
  <c r="G387"/>
  <c r="F388"/>
  <c r="G388"/>
  <c r="F385"/>
  <c r="G385"/>
  <c r="F399"/>
  <c r="G399"/>
  <c r="F382"/>
  <c r="G382"/>
  <c r="F381"/>
  <c r="G381"/>
  <c r="F375"/>
  <c r="G375"/>
  <c r="F380"/>
  <c r="G380"/>
  <c r="F376"/>
  <c r="G376"/>
  <c r="F379"/>
  <c r="G379"/>
  <c r="F377"/>
  <c r="G377"/>
  <c r="F378"/>
  <c r="G378"/>
  <c r="F372"/>
  <c r="G372"/>
  <c r="F369"/>
  <c r="G369"/>
  <c r="F370"/>
  <c r="G370"/>
  <c r="F363"/>
  <c r="G363"/>
  <c r="F358"/>
  <c r="G358"/>
  <c r="F362"/>
  <c r="G362"/>
  <c r="F361"/>
  <c r="G361"/>
  <c r="F360"/>
  <c r="G360"/>
  <c r="F359"/>
  <c r="G359"/>
  <c r="F357"/>
  <c r="G357"/>
  <c r="F364"/>
  <c r="G364"/>
  <c r="F366"/>
  <c r="G366"/>
  <c r="F367"/>
  <c r="G367"/>
  <c r="F365"/>
  <c r="G365"/>
  <c r="F355"/>
  <c r="G355"/>
  <c r="F349"/>
  <c r="G349"/>
  <c r="F350"/>
  <c r="G350"/>
  <c r="F351"/>
  <c r="G351"/>
  <c r="F346"/>
  <c r="G346"/>
  <c r="F344"/>
  <c r="G344"/>
  <c r="F352"/>
  <c r="G352"/>
  <c r="F354"/>
  <c r="G354"/>
  <c r="F353"/>
  <c r="G353"/>
  <c r="F348"/>
  <c r="G348"/>
  <c r="F347"/>
  <c r="G347"/>
  <c r="F345"/>
  <c r="G345"/>
  <c r="F342"/>
  <c r="G342"/>
  <c r="F339"/>
  <c r="G339"/>
  <c r="F338"/>
  <c r="G338"/>
  <c r="F336"/>
  <c r="G336"/>
  <c r="F315"/>
  <c r="G315"/>
  <c r="F332"/>
  <c r="G332"/>
  <c r="F312"/>
  <c r="G312"/>
  <c r="F318"/>
  <c r="G318"/>
  <c r="F319"/>
  <c r="G319"/>
  <c r="F320"/>
  <c r="G320"/>
  <c r="F329"/>
  <c r="G329"/>
  <c r="F314"/>
  <c r="G314"/>
  <c r="F323"/>
  <c r="G323"/>
  <c r="F328"/>
  <c r="G328"/>
  <c r="F321"/>
  <c r="G321"/>
  <c r="F326"/>
  <c r="G326"/>
  <c r="F324"/>
  <c r="G324"/>
  <c r="F316"/>
  <c r="G316"/>
  <c r="F311"/>
  <c r="G311"/>
  <c r="F330"/>
  <c r="G330"/>
  <c r="F322"/>
  <c r="G322"/>
  <c r="F334"/>
  <c r="G334"/>
  <c r="F327"/>
  <c r="G327"/>
  <c r="F317"/>
  <c r="G317"/>
  <c r="F313"/>
  <c r="G313"/>
  <c r="F333"/>
  <c r="G333"/>
  <c r="F331"/>
  <c r="G331"/>
  <c r="F325"/>
  <c r="G325"/>
  <c r="I308"/>
  <c r="J308"/>
  <c r="I281"/>
  <c r="J281"/>
  <c r="I286"/>
  <c r="J286"/>
  <c r="I293"/>
  <c r="J293"/>
  <c r="I297"/>
  <c r="J297"/>
  <c r="I302"/>
  <c r="J302"/>
  <c r="I273"/>
  <c r="J273"/>
  <c r="I306"/>
  <c r="J306"/>
  <c r="I275"/>
  <c r="J275"/>
  <c r="I303"/>
  <c r="J303"/>
  <c r="I298"/>
  <c r="J298"/>
  <c r="I295"/>
  <c r="J295"/>
  <c r="I291"/>
  <c r="J291"/>
  <c r="I287"/>
  <c r="J287"/>
  <c r="I282"/>
  <c r="J282"/>
  <c r="I301"/>
  <c r="J301"/>
  <c r="I296"/>
  <c r="J296"/>
  <c r="I292"/>
  <c r="J292"/>
  <c r="I272"/>
  <c r="J272"/>
  <c r="I300"/>
  <c r="J300"/>
  <c r="I294"/>
  <c r="J294"/>
  <c r="I290"/>
  <c r="J290"/>
  <c r="I289"/>
  <c r="J289"/>
  <c r="I284"/>
  <c r="J284"/>
  <c r="I279"/>
  <c r="J279"/>
  <c r="I278"/>
  <c r="J278"/>
  <c r="I277"/>
  <c r="J277"/>
  <c r="I276"/>
  <c r="J276"/>
  <c r="I305"/>
  <c r="J305"/>
  <c r="I283"/>
  <c r="J283"/>
  <c r="I288"/>
  <c r="J288"/>
  <c r="I299"/>
  <c r="J299"/>
  <c r="I304"/>
  <c r="J304"/>
  <c r="F308"/>
  <c r="G308"/>
  <c r="F281"/>
  <c r="G281"/>
  <c r="F286"/>
  <c r="G286"/>
  <c r="F293"/>
  <c r="G293"/>
  <c r="F297"/>
  <c r="G297"/>
  <c r="F302"/>
  <c r="G302"/>
  <c r="F273"/>
  <c r="G273"/>
  <c r="F306"/>
  <c r="G306"/>
  <c r="F275"/>
  <c r="G275"/>
  <c r="F303"/>
  <c r="G303"/>
  <c r="F298"/>
  <c r="G298"/>
  <c r="F295"/>
  <c r="G295"/>
  <c r="F291"/>
  <c r="G291"/>
  <c r="F287"/>
  <c r="G287"/>
  <c r="F282"/>
  <c r="G282"/>
  <c r="F301"/>
  <c r="G301"/>
  <c r="F296"/>
  <c r="G296"/>
  <c r="F292"/>
  <c r="G292"/>
  <c r="F272"/>
  <c r="G272"/>
  <c r="F300"/>
  <c r="G300"/>
  <c r="F294"/>
  <c r="G294"/>
  <c r="F290"/>
  <c r="G290"/>
  <c r="F289"/>
  <c r="G289"/>
  <c r="F284"/>
  <c r="G284"/>
  <c r="F279"/>
  <c r="G279"/>
  <c r="F278"/>
  <c r="G278"/>
  <c r="F277"/>
  <c r="G277"/>
  <c r="F276"/>
  <c r="G276"/>
  <c r="F305"/>
  <c r="G305"/>
  <c r="F283"/>
  <c r="G283"/>
  <c r="F288"/>
  <c r="G288"/>
  <c r="F299"/>
  <c r="G299"/>
  <c r="F304"/>
  <c r="G304"/>
  <c r="I274"/>
  <c r="J274"/>
  <c r="I285"/>
  <c r="J285"/>
  <c r="I280"/>
  <c r="J280"/>
  <c r="I271"/>
  <c r="J271"/>
  <c r="I255"/>
  <c r="J255"/>
  <c r="I265"/>
  <c r="J265"/>
  <c r="I264"/>
  <c r="J264"/>
  <c r="I261"/>
  <c r="J261"/>
  <c r="I256"/>
  <c r="J256"/>
  <c r="I251"/>
  <c r="J251"/>
  <c r="I253"/>
  <c r="J253"/>
  <c r="I269"/>
  <c r="J269"/>
  <c r="I270"/>
  <c r="J270"/>
  <c r="I266"/>
  <c r="J266"/>
  <c r="I262"/>
  <c r="J262"/>
  <c r="I263"/>
  <c r="J263"/>
  <c r="I267"/>
  <c r="J267"/>
  <c r="I254"/>
  <c r="J254"/>
  <c r="I259"/>
  <c r="J259"/>
  <c r="I250"/>
  <c r="J250"/>
  <c r="I257"/>
  <c r="J257"/>
  <c r="I268"/>
  <c r="J268"/>
  <c r="I252"/>
  <c r="J252"/>
  <c r="I258"/>
  <c r="J258"/>
  <c r="I260"/>
  <c r="J260"/>
  <c r="I249"/>
  <c r="J249"/>
  <c r="I246"/>
  <c r="J246"/>
  <c r="I245"/>
  <c r="J245"/>
  <c r="I248"/>
  <c r="J248"/>
  <c r="I247"/>
  <c r="J247"/>
  <c r="I238"/>
  <c r="J238"/>
  <c r="I224"/>
  <c r="J224"/>
  <c r="I146"/>
  <c r="J146"/>
  <c r="I235"/>
  <c r="J235"/>
  <c r="I234"/>
  <c r="J234"/>
  <c r="I215"/>
  <c r="J215"/>
  <c r="I173"/>
  <c r="J173"/>
  <c r="I241"/>
  <c r="J241"/>
  <c r="I217"/>
  <c r="J217"/>
  <c r="I218"/>
  <c r="J218"/>
  <c r="I163"/>
  <c r="J163"/>
  <c r="I169"/>
  <c r="J169"/>
  <c r="I188"/>
  <c r="J188"/>
  <c r="I171"/>
  <c r="J171"/>
  <c r="I153"/>
  <c r="J153"/>
  <c r="I144"/>
  <c r="J144"/>
  <c r="I204"/>
  <c r="J204"/>
  <c r="I198"/>
  <c r="J198"/>
  <c r="I213"/>
  <c r="J213"/>
  <c r="I193"/>
  <c r="J193"/>
  <c r="I196"/>
  <c r="J196"/>
  <c r="I162"/>
  <c r="J162"/>
  <c r="I164"/>
  <c r="J164"/>
  <c r="F274"/>
  <c r="G274"/>
  <c r="F285"/>
  <c r="G285"/>
  <c r="F280"/>
  <c r="G280"/>
  <c r="F271"/>
  <c r="G271"/>
  <c r="F255"/>
  <c r="G255"/>
  <c r="F265"/>
  <c r="G265"/>
  <c r="F264"/>
  <c r="G264"/>
  <c r="F261"/>
  <c r="G261"/>
  <c r="F256"/>
  <c r="G256"/>
  <c r="F251"/>
  <c r="G251"/>
  <c r="F253"/>
  <c r="G253"/>
  <c r="F269"/>
  <c r="G269"/>
  <c r="F270"/>
  <c r="G270"/>
  <c r="F266"/>
  <c r="G266"/>
  <c r="F262"/>
  <c r="G262"/>
  <c r="F263"/>
  <c r="G263"/>
  <c r="F267"/>
  <c r="G267"/>
  <c r="F254"/>
  <c r="G254"/>
  <c r="F259"/>
  <c r="G259"/>
  <c r="F250"/>
  <c r="G250"/>
  <c r="F257"/>
  <c r="G257"/>
  <c r="F268"/>
  <c r="G268"/>
  <c r="F252"/>
  <c r="G252"/>
  <c r="F258"/>
  <c r="G258"/>
  <c r="F260"/>
  <c r="G260"/>
  <c r="F249"/>
  <c r="G249"/>
  <c r="F246"/>
  <c r="G246"/>
  <c r="F245"/>
  <c r="G245"/>
  <c r="F248"/>
  <c r="G248"/>
  <c r="F247"/>
  <c r="G247"/>
  <c r="F238"/>
  <c r="G238"/>
  <c r="F224"/>
  <c r="G224"/>
  <c r="F146"/>
  <c r="G146"/>
  <c r="F235"/>
  <c r="G235"/>
  <c r="F234"/>
  <c r="G234"/>
  <c r="F215"/>
  <c r="G215"/>
  <c r="F173"/>
  <c r="G173"/>
  <c r="F241"/>
  <c r="G241"/>
  <c r="F217"/>
  <c r="G217"/>
  <c r="F218"/>
  <c r="G218"/>
  <c r="F163"/>
  <c r="G163"/>
  <c r="F169"/>
  <c r="G169"/>
  <c r="F188"/>
  <c r="G188"/>
  <c r="F171"/>
  <c r="G171"/>
  <c r="F153"/>
  <c r="G153"/>
  <c r="F144"/>
  <c r="G144"/>
  <c r="F204"/>
  <c r="G204"/>
  <c r="F198"/>
  <c r="G198"/>
  <c r="F213"/>
  <c r="G213"/>
  <c r="F193"/>
  <c r="G193"/>
  <c r="F196"/>
  <c r="G196"/>
  <c r="F162"/>
  <c r="G162"/>
  <c r="F164"/>
  <c r="G164"/>
  <c r="I9"/>
  <c r="I21"/>
  <c r="J21"/>
  <c r="F21"/>
  <c r="G21"/>
  <c r="I243"/>
  <c r="J243"/>
  <c r="I239"/>
  <c r="J239"/>
  <c r="I200"/>
  <c r="J200"/>
  <c r="I160"/>
  <c r="J160"/>
  <c r="I158"/>
  <c r="J158"/>
  <c r="I151"/>
  <c r="J151"/>
  <c r="I141"/>
  <c r="J141"/>
  <c r="I186"/>
  <c r="J186"/>
  <c r="I179"/>
  <c r="J179"/>
  <c r="I175"/>
  <c r="J175"/>
  <c r="I167"/>
  <c r="J167"/>
  <c r="I154"/>
  <c r="J154"/>
  <c r="I147"/>
  <c r="J147"/>
  <c r="I142"/>
  <c r="J142"/>
  <c r="I150"/>
  <c r="J150"/>
  <c r="I223"/>
  <c r="J223"/>
  <c r="I161"/>
  <c r="J161"/>
  <c r="I181"/>
  <c r="J181"/>
  <c r="I195"/>
  <c r="J195"/>
  <c r="I229"/>
  <c r="J229"/>
  <c r="I228"/>
  <c r="J228"/>
  <c r="I216"/>
  <c r="J216"/>
  <c r="I201"/>
  <c r="J201"/>
  <c r="I166"/>
  <c r="J166"/>
  <c r="I192"/>
  <c r="J192"/>
  <c r="I176"/>
  <c r="J176"/>
  <c r="I157"/>
  <c r="J157"/>
  <c r="I206"/>
  <c r="J206"/>
  <c r="I178"/>
  <c r="J178"/>
  <c r="I211"/>
  <c r="J211"/>
  <c r="I205"/>
  <c r="J205"/>
  <c r="I177"/>
  <c r="J177"/>
  <c r="I210"/>
  <c r="J210"/>
  <c r="I187"/>
  <c r="J187"/>
  <c r="I214"/>
  <c r="J214"/>
  <c r="I145"/>
  <c r="J145"/>
  <c r="I148"/>
  <c r="J148"/>
  <c r="I174"/>
  <c r="J174"/>
  <c r="I180"/>
  <c r="J180"/>
  <c r="I156"/>
  <c r="J156"/>
  <c r="I182"/>
  <c r="J182"/>
  <c r="I221"/>
  <c r="J221"/>
  <c r="I189"/>
  <c r="J189"/>
  <c r="I184"/>
  <c r="J184"/>
  <c r="I152"/>
  <c r="J152"/>
  <c r="I240"/>
  <c r="J240"/>
  <c r="I233"/>
  <c r="J233"/>
  <c r="I232"/>
  <c r="J232"/>
  <c r="I231"/>
  <c r="J231"/>
  <c r="I230"/>
  <c r="J230"/>
  <c r="I227"/>
  <c r="J227"/>
  <c r="I226"/>
  <c r="J226"/>
  <c r="I225"/>
  <c r="J225"/>
  <c r="I172"/>
  <c r="J172"/>
  <c r="I159"/>
  <c r="J159"/>
  <c r="I149"/>
  <c r="J149"/>
  <c r="I207"/>
  <c r="J207"/>
  <c r="I199"/>
  <c r="J199"/>
  <c r="I237"/>
  <c r="J237"/>
  <c r="I185"/>
  <c r="J185"/>
  <c r="I155"/>
  <c r="J155"/>
  <c r="I194"/>
  <c r="J194"/>
  <c r="I168"/>
  <c r="J168"/>
  <c r="I143"/>
  <c r="J143"/>
  <c r="I242"/>
  <c r="J242"/>
  <c r="I236"/>
  <c r="J236"/>
  <c r="I209"/>
  <c r="J209"/>
  <c r="I208"/>
  <c r="J208"/>
  <c r="I165"/>
  <c r="J165"/>
  <c r="I191"/>
  <c r="J191"/>
  <c r="I190"/>
  <c r="J190"/>
  <c r="I183"/>
  <c r="J183"/>
  <c r="I212"/>
  <c r="J212"/>
  <c r="I202"/>
  <c r="J202"/>
  <c r="I203"/>
  <c r="J203"/>
  <c r="I220"/>
  <c r="J220"/>
  <c r="I219"/>
  <c r="J219"/>
  <c r="I197"/>
  <c r="J197"/>
  <c r="I170"/>
  <c r="J170"/>
  <c r="I222"/>
  <c r="J222"/>
  <c r="I140"/>
  <c r="J140"/>
  <c r="I139"/>
  <c r="J139"/>
  <c r="I138"/>
  <c r="J138"/>
  <c r="I137"/>
  <c r="J137"/>
  <c r="I136"/>
  <c r="J136"/>
  <c r="I135"/>
  <c r="J135"/>
  <c r="I134"/>
  <c r="J134"/>
  <c r="I133"/>
  <c r="J133"/>
  <c r="I132"/>
  <c r="J132"/>
  <c r="I93"/>
  <c r="J93"/>
  <c r="I95"/>
  <c r="J95"/>
  <c r="I121"/>
  <c r="J121"/>
  <c r="I117"/>
  <c r="J117"/>
  <c r="I112"/>
  <c r="J112"/>
  <c r="I97"/>
  <c r="J97"/>
  <c r="I130"/>
  <c r="J130"/>
  <c r="I131"/>
  <c r="J131"/>
  <c r="I125"/>
  <c r="J125"/>
  <c r="I100"/>
  <c r="J100"/>
  <c r="I118"/>
  <c r="J118"/>
  <c r="I98"/>
  <c r="J98"/>
  <c r="I108"/>
  <c r="J108"/>
  <c r="I102"/>
  <c r="J102"/>
  <c r="I101"/>
  <c r="J101"/>
  <c r="I113"/>
  <c r="J113"/>
  <c r="I124"/>
  <c r="J124"/>
  <c r="I114"/>
  <c r="J114"/>
  <c r="I127"/>
  <c r="J127"/>
  <c r="I107"/>
  <c r="J107"/>
  <c r="I111"/>
  <c r="J111"/>
  <c r="I123"/>
  <c r="J123"/>
  <c r="I115"/>
  <c r="J115"/>
  <c r="I126"/>
  <c r="J126"/>
  <c r="I103"/>
  <c r="J103"/>
  <c r="I94"/>
  <c r="J94"/>
  <c r="I96"/>
  <c r="J96"/>
  <c r="I128"/>
  <c r="J128"/>
  <c r="I116"/>
  <c r="J116"/>
  <c r="I99"/>
  <c r="J99"/>
  <c r="I92"/>
  <c r="J92"/>
  <c r="I110"/>
  <c r="J110"/>
  <c r="I105"/>
  <c r="J105"/>
  <c r="I104"/>
  <c r="J104"/>
  <c r="I122"/>
  <c r="J122"/>
  <c r="I129"/>
  <c r="J129"/>
  <c r="I106"/>
  <c r="J106"/>
  <c r="I119"/>
  <c r="J119"/>
  <c r="I120"/>
  <c r="J120"/>
  <c r="I91"/>
  <c r="J91"/>
  <c r="I86"/>
  <c r="J86"/>
  <c r="I82"/>
  <c r="J82"/>
  <c r="I83"/>
  <c r="J83"/>
  <c r="I88"/>
  <c r="J88"/>
  <c r="I81"/>
  <c r="J81"/>
  <c r="I89"/>
  <c r="J89"/>
  <c r="I79"/>
  <c r="J79"/>
  <c r="I80"/>
  <c r="J80"/>
  <c r="I87"/>
  <c r="J87"/>
  <c r="I90"/>
  <c r="J90"/>
  <c r="I85"/>
  <c r="J85"/>
  <c r="I84"/>
  <c r="J84"/>
  <c r="I78"/>
  <c r="J78"/>
  <c r="I77"/>
  <c r="J77"/>
  <c r="I74"/>
  <c r="J74"/>
  <c r="I75"/>
  <c r="J75"/>
  <c r="I69"/>
  <c r="J69"/>
  <c r="I66"/>
  <c r="J66"/>
  <c r="I76"/>
  <c r="J76"/>
  <c r="I73"/>
  <c r="J73"/>
  <c r="I68"/>
  <c r="J68"/>
  <c r="I70"/>
  <c r="J70"/>
  <c r="I72"/>
  <c r="J72"/>
  <c r="I71"/>
  <c r="J71"/>
  <c r="I67"/>
  <c r="J67"/>
  <c r="I65"/>
  <c r="J65"/>
  <c r="I62"/>
  <c r="J62"/>
  <c r="I61"/>
  <c r="J61"/>
  <c r="I64"/>
  <c r="J64"/>
  <c r="I63"/>
  <c r="J63"/>
  <c r="I60"/>
  <c r="J60"/>
  <c r="I52"/>
  <c r="J52"/>
  <c r="I58"/>
  <c r="J58"/>
  <c r="I59"/>
  <c r="J59"/>
  <c r="I56"/>
  <c r="J56"/>
  <c r="I54"/>
  <c r="J54"/>
  <c r="I51"/>
  <c r="J51"/>
  <c r="I50"/>
  <c r="J50"/>
  <c r="I53"/>
  <c r="J53"/>
  <c r="I57"/>
  <c r="J57"/>
  <c r="I55"/>
  <c r="J55"/>
  <c r="I49"/>
  <c r="J49"/>
  <c r="I48"/>
  <c r="J48"/>
  <c r="I47"/>
  <c r="J47"/>
  <c r="I20"/>
  <c r="J20"/>
  <c r="I15"/>
  <c r="J15"/>
  <c r="I18"/>
  <c r="J18"/>
  <c r="I17"/>
  <c r="J17"/>
  <c r="I16"/>
  <c r="J16"/>
  <c r="I26"/>
  <c r="J26"/>
  <c r="I27"/>
  <c r="J27"/>
  <c r="I10"/>
  <c r="J10"/>
  <c r="I3"/>
  <c r="J3"/>
  <c r="I44"/>
  <c r="J44"/>
  <c r="I43"/>
  <c r="J43"/>
  <c r="I24"/>
  <c r="J24"/>
  <c r="I40"/>
  <c r="J40"/>
  <c r="I7"/>
  <c r="J7"/>
  <c r="I34"/>
  <c r="J34"/>
  <c r="I37"/>
  <c r="J37"/>
  <c r="I41"/>
  <c r="J41"/>
  <c r="I42"/>
  <c r="J42"/>
  <c r="I45"/>
  <c r="J45"/>
  <c r="I25"/>
  <c r="J25"/>
  <c r="I8"/>
  <c r="J8"/>
  <c r="I35"/>
  <c r="J35"/>
  <c r="I31"/>
  <c r="J31"/>
  <c r="I38"/>
  <c r="J38"/>
  <c r="I29"/>
  <c r="J29"/>
  <c r="I28"/>
  <c r="J28"/>
  <c r="I33"/>
  <c r="J33"/>
  <c r="I32"/>
  <c r="J32"/>
  <c r="I36"/>
  <c r="J36"/>
  <c r="I13"/>
  <c r="J13"/>
  <c r="I19"/>
  <c r="J19"/>
  <c r="I23"/>
  <c r="J23"/>
  <c r="I4"/>
  <c r="J4"/>
  <c r="I39"/>
  <c r="J39"/>
  <c r="I5"/>
  <c r="J5"/>
  <c r="I6"/>
  <c r="J6"/>
  <c r="J9"/>
  <c r="I30"/>
  <c r="J30"/>
  <c r="I22"/>
  <c r="J22"/>
  <c r="I14"/>
  <c r="J14"/>
  <c r="I12"/>
  <c r="J12"/>
  <c r="F243"/>
  <c r="G243"/>
  <c r="F239"/>
  <c r="G239"/>
  <c r="F200"/>
  <c r="G200"/>
  <c r="F160"/>
  <c r="G160"/>
  <c r="F158"/>
  <c r="G158"/>
  <c r="F151"/>
  <c r="G151"/>
  <c r="F141"/>
  <c r="G141"/>
  <c r="F186"/>
  <c r="G186"/>
  <c r="F179"/>
  <c r="G179"/>
  <c r="F175"/>
  <c r="G175"/>
  <c r="F167"/>
  <c r="G167"/>
  <c r="F154"/>
  <c r="G154"/>
  <c r="F147"/>
  <c r="G147"/>
  <c r="F142"/>
  <c r="G142"/>
  <c r="F150"/>
  <c r="G150"/>
  <c r="F223"/>
  <c r="G223"/>
  <c r="F161"/>
  <c r="G161"/>
  <c r="F181"/>
  <c r="G181"/>
  <c r="F195"/>
  <c r="G195"/>
  <c r="F229"/>
  <c r="G229"/>
  <c r="F228"/>
  <c r="G228"/>
  <c r="F216"/>
  <c r="G216"/>
  <c r="F201"/>
  <c r="G201"/>
  <c r="F166"/>
  <c r="G166"/>
  <c r="F192"/>
  <c r="G192"/>
  <c r="F176"/>
  <c r="G176"/>
  <c r="F157"/>
  <c r="G157"/>
  <c r="F206"/>
  <c r="G206"/>
  <c r="F178"/>
  <c r="G178"/>
  <c r="F211"/>
  <c r="G211"/>
  <c r="F205"/>
  <c r="G205"/>
  <c r="F177"/>
  <c r="G177"/>
  <c r="F210"/>
  <c r="G210"/>
  <c r="F187"/>
  <c r="G187"/>
  <c r="F214"/>
  <c r="G214"/>
  <c r="F145"/>
  <c r="G145"/>
  <c r="F148"/>
  <c r="G148"/>
  <c r="F174"/>
  <c r="G174"/>
  <c r="F180"/>
  <c r="G180"/>
  <c r="F156"/>
  <c r="G156"/>
  <c r="F182"/>
  <c r="G182"/>
  <c r="F221"/>
  <c r="G221"/>
  <c r="F189"/>
  <c r="G189"/>
  <c r="F184"/>
  <c r="G184"/>
  <c r="F152"/>
  <c r="G152"/>
  <c r="F240"/>
  <c r="G240"/>
  <c r="F233"/>
  <c r="G233"/>
  <c r="F232"/>
  <c r="G232"/>
  <c r="F231"/>
  <c r="G231"/>
  <c r="F230"/>
  <c r="G230"/>
  <c r="F227"/>
  <c r="G227"/>
  <c r="F226"/>
  <c r="G226"/>
  <c r="F225"/>
  <c r="G225"/>
  <c r="F172"/>
  <c r="G172"/>
  <c r="F159"/>
  <c r="G159"/>
  <c r="F149"/>
  <c r="G149"/>
  <c r="F207"/>
  <c r="G207"/>
  <c r="F199"/>
  <c r="G199"/>
  <c r="F237"/>
  <c r="G237"/>
  <c r="F185"/>
  <c r="G185"/>
  <c r="F155"/>
  <c r="G155"/>
  <c r="F194"/>
  <c r="G194"/>
  <c r="F168"/>
  <c r="G168"/>
  <c r="F143"/>
  <c r="G143"/>
  <c r="F242"/>
  <c r="G242"/>
  <c r="F236"/>
  <c r="G236"/>
  <c r="F209"/>
  <c r="G209"/>
  <c r="F208"/>
  <c r="G208"/>
  <c r="F165"/>
  <c r="G165"/>
  <c r="F191"/>
  <c r="G191"/>
  <c r="F190"/>
  <c r="G190"/>
  <c r="F183"/>
  <c r="G183"/>
  <c r="F212"/>
  <c r="G212"/>
  <c r="F202"/>
  <c r="G202"/>
  <c r="F203"/>
  <c r="G203"/>
  <c r="F220"/>
  <c r="G220"/>
  <c r="F219"/>
  <c r="G219"/>
  <c r="F197"/>
  <c r="G197"/>
  <c r="F170"/>
  <c r="G170"/>
  <c r="F222"/>
  <c r="G222"/>
  <c r="F140"/>
  <c r="G140"/>
  <c r="F139"/>
  <c r="G139"/>
  <c r="F138"/>
  <c r="G138"/>
  <c r="F137"/>
  <c r="G137"/>
  <c r="F136"/>
  <c r="G136"/>
  <c r="F135"/>
  <c r="G135"/>
  <c r="F134"/>
  <c r="G134"/>
  <c r="F133"/>
  <c r="G133"/>
  <c r="F132"/>
  <c r="G132"/>
  <c r="F93"/>
  <c r="G93"/>
  <c r="F95"/>
  <c r="G95"/>
  <c r="F121"/>
  <c r="G121"/>
  <c r="F117"/>
  <c r="G117"/>
  <c r="F112"/>
  <c r="G112"/>
  <c r="F97"/>
  <c r="G97"/>
  <c r="F130"/>
  <c r="G130"/>
  <c r="F131"/>
  <c r="G131"/>
  <c r="F125"/>
  <c r="G125"/>
  <c r="F100"/>
  <c r="G100"/>
  <c r="F118"/>
  <c r="G118"/>
  <c r="F98"/>
  <c r="G98"/>
  <c r="F108"/>
  <c r="G108"/>
  <c r="F102"/>
  <c r="G102"/>
  <c r="F101"/>
  <c r="G101"/>
  <c r="F113"/>
  <c r="G113"/>
  <c r="F124"/>
  <c r="G124"/>
  <c r="F114"/>
  <c r="G114"/>
  <c r="F127"/>
  <c r="G127"/>
  <c r="F107"/>
  <c r="G107"/>
  <c r="F111"/>
  <c r="G111"/>
  <c r="F123"/>
  <c r="G123"/>
  <c r="F115"/>
  <c r="G115"/>
  <c r="F126"/>
  <c r="G126"/>
  <c r="F103"/>
  <c r="G103"/>
  <c r="F94"/>
  <c r="G94"/>
  <c r="F96"/>
  <c r="G96"/>
  <c r="F128"/>
  <c r="G128"/>
  <c r="F116"/>
  <c r="G116"/>
  <c r="F99"/>
  <c r="G99"/>
  <c r="F92"/>
  <c r="G92"/>
  <c r="F110"/>
  <c r="G110"/>
  <c r="F105"/>
  <c r="G105"/>
  <c r="F104"/>
  <c r="G104"/>
  <c r="F122"/>
  <c r="G122"/>
  <c r="F129"/>
  <c r="G129"/>
  <c r="F106"/>
  <c r="G106"/>
  <c r="F119"/>
  <c r="G119"/>
  <c r="F120"/>
  <c r="G120"/>
  <c r="F91"/>
  <c r="G91"/>
  <c r="F86"/>
  <c r="G86"/>
  <c r="F82"/>
  <c r="G82"/>
  <c r="F83"/>
  <c r="G83"/>
  <c r="F88"/>
  <c r="G88"/>
  <c r="F81"/>
  <c r="G81"/>
  <c r="F89"/>
  <c r="G89"/>
  <c r="F79"/>
  <c r="G79"/>
  <c r="F80"/>
  <c r="G80"/>
  <c r="F87"/>
  <c r="G87"/>
  <c r="F90"/>
  <c r="G90"/>
  <c r="F85"/>
  <c r="G85"/>
  <c r="F84"/>
  <c r="G84"/>
  <c r="F78"/>
  <c r="G78"/>
  <c r="F77"/>
  <c r="G77"/>
  <c r="F74"/>
  <c r="G74"/>
  <c r="F75"/>
  <c r="G75"/>
  <c r="F69"/>
  <c r="G69"/>
  <c r="F66"/>
  <c r="G66"/>
  <c r="F76"/>
  <c r="G76"/>
  <c r="F73"/>
  <c r="G73"/>
  <c r="F68"/>
  <c r="G68"/>
  <c r="F70"/>
  <c r="G70"/>
  <c r="F72"/>
  <c r="G72"/>
  <c r="F71"/>
  <c r="G71"/>
  <c r="F67"/>
  <c r="G67"/>
  <c r="F65"/>
  <c r="G65"/>
  <c r="F62"/>
  <c r="G62"/>
  <c r="F61"/>
  <c r="G61"/>
  <c r="F64"/>
  <c r="G64"/>
  <c r="F63"/>
  <c r="G63"/>
  <c r="F60"/>
  <c r="G60"/>
  <c r="F52"/>
  <c r="G52"/>
  <c r="F58"/>
  <c r="G58"/>
  <c r="F59"/>
  <c r="G59"/>
  <c r="F56"/>
  <c r="G56"/>
  <c r="F54"/>
  <c r="G54"/>
  <c r="F51"/>
  <c r="G51"/>
  <c r="F50"/>
  <c r="G50"/>
  <c r="F53"/>
  <c r="G53"/>
  <c r="F57"/>
  <c r="G57"/>
  <c r="F55"/>
  <c r="G55"/>
  <c r="F49"/>
  <c r="G49"/>
  <c r="F48"/>
  <c r="G48"/>
  <c r="F47"/>
  <c r="G47"/>
  <c r="F20"/>
  <c r="G20"/>
  <c r="F15"/>
  <c r="G15"/>
  <c r="F18"/>
  <c r="G18"/>
  <c r="F17"/>
  <c r="G17"/>
  <c r="F16"/>
  <c r="G16"/>
  <c r="F26"/>
  <c r="G26"/>
  <c r="F27"/>
  <c r="G27"/>
  <c r="F10"/>
  <c r="G10"/>
  <c r="F3"/>
  <c r="G3"/>
  <c r="F44"/>
  <c r="G44"/>
  <c r="F43"/>
  <c r="G43"/>
  <c r="F24"/>
  <c r="G24"/>
  <c r="F40"/>
  <c r="G40"/>
  <c r="F7"/>
  <c r="G7"/>
  <c r="F34"/>
  <c r="G34"/>
  <c r="F37"/>
  <c r="G37"/>
  <c r="F41"/>
  <c r="G41"/>
  <c r="F42"/>
  <c r="G42"/>
  <c r="F45"/>
  <c r="G45"/>
  <c r="F25"/>
  <c r="G25"/>
  <c r="F8"/>
  <c r="G8"/>
  <c r="F35"/>
  <c r="G35"/>
  <c r="F31"/>
  <c r="G31"/>
  <c r="F38"/>
  <c r="G38"/>
  <c r="F29"/>
  <c r="G29"/>
  <c r="F28"/>
  <c r="G28"/>
  <c r="F33"/>
  <c r="G33"/>
  <c r="F32"/>
  <c r="G32"/>
  <c r="F36"/>
  <c r="G36"/>
  <c r="F13"/>
  <c r="G13"/>
  <c r="F19"/>
  <c r="G19"/>
  <c r="F23"/>
  <c r="G23"/>
  <c r="F4"/>
  <c r="G4"/>
  <c r="F39"/>
  <c r="G39"/>
  <c r="F5"/>
  <c r="G5"/>
  <c r="F6"/>
  <c r="G6"/>
  <c r="F9"/>
  <c r="G9"/>
  <c r="F30"/>
  <c r="G30"/>
  <c r="F22"/>
  <c r="G22"/>
  <c r="F14"/>
  <c r="G14"/>
  <c r="F12"/>
  <c r="G12"/>
  <c r="I11"/>
  <c r="J11"/>
  <c r="F11"/>
  <c r="G11"/>
</calcChain>
</file>

<file path=xl/sharedStrings.xml><?xml version="1.0" encoding="utf-8"?>
<sst xmlns="http://schemas.openxmlformats.org/spreadsheetml/2006/main" count="3580" uniqueCount="2507">
  <si>
    <t>A</t>
  </si>
  <si>
    <t>Manufacturer</t>
  </si>
  <si>
    <t>Model</t>
  </si>
  <si>
    <t>Description</t>
  </si>
  <si>
    <t>Price per Day (USD)</t>
  </si>
  <si>
    <t>Price Per Day (AUD ex GST)</t>
  </si>
  <si>
    <t>Price per Day (inc GST)</t>
  </si>
  <si>
    <t>arri-650-3-kit-with-wheels_det.jpg</t>
  </si>
  <si>
    <t>Image Name</t>
  </si>
  <si>
    <t>Arri</t>
  </si>
  <si>
    <t>650W, 300W, (2) 150W</t>
  </si>
  <si>
    <t>The Arri 360 3/kit will light your set with smooth, even fields of light. These lights feature beam angles that range from 52 degrees to 14.5 degrees and come with 4-leaf barndoor sets and scrims to offer refined control.</t>
  </si>
  <si>
    <t>Replacement Value (USD)</t>
  </si>
  <si>
    <t>Replacement Value (AUD inc GST)</t>
  </si>
  <si>
    <t>Replacement Value (AUD ex GST)</t>
  </si>
  <si>
    <t>Alexa Classic EV</t>
  </si>
  <si>
    <t>Alexa Plus</t>
  </si>
  <si>
    <t>Arriflex 416 Plus</t>
  </si>
  <si>
    <t>The film and tv industry has embraced this incredible camera from Arri, and you should too. 14 stops of dynamic range and a base sensitivity of 800 iso, this camera functions especially well in low light situations. With its Super 35 sensor, you can't go wrong with this image that has served well on indie films such as Drive as well as major hollywood blockbusters like Gravity and The Avengers.</t>
  </si>
  <si>
    <t>al_classic_sup_11.1.jpg</t>
  </si>
  <si>
    <t>The film and tv industry has embraced this incredible camera from Arri, and you should too. With 14 stops of dynamic range and a base sensitivity of 800 iso, this camera functions especially well in low light situations via its Super 35 sensor. This shoulder balanced camera makes shooting handheld a cinch and works perfectly for documentaries or reality series.</t>
  </si>
  <si>
    <t>amira_header_02.jpg</t>
  </si>
  <si>
    <t>Film lives! Looking for that natural grain and 'filmic look' that all the digital cameras are trying to mimic? Your search has ended, because the Arrilfex 416 Plus is your answer. A standard in the industry for decades, this successor to Arri's long line of cameras and is balanced well for handheld situations.</t>
  </si>
  <si>
    <t>Amira</t>
  </si>
  <si>
    <t>The film and tv industry has embraced this incredible camera from Arri, and you should too. With 14 stops of dynamic range and a base sensitivity of 800 iso, this camera functions especially well in low light situations via its 4:3 Super 35 sensor. And with the 4:3 sensor, it makes the perfect option for anamorphic shooting.</t>
  </si>
  <si>
    <t>ALEXA-Plus-4-3-Header-Image.jpg</t>
  </si>
  <si>
    <t>arriflex_416_01_det.jpg</t>
  </si>
  <si>
    <t>Fresnel Five Light Kit</t>
  </si>
  <si>
    <t>3 point lighting? Make it 5 with a total of 1900 watts from this hearty Arri kit. You get two 650s, two 150s, and a 300. And with stands, barn doors, and scrims, you've got the flexibilty to shape light no matter where your location is.</t>
  </si>
  <si>
    <t>fresnel-kits_us_det.jpg</t>
  </si>
  <si>
    <t>535B</t>
  </si>
  <si>
    <t>arriflex_535.jpg</t>
  </si>
  <si>
    <t>35 BL4 35mm</t>
  </si>
  <si>
    <t>16SR 16mm</t>
  </si>
  <si>
    <t>arriflex35bl4-2.jpg</t>
  </si>
  <si>
    <t>Trying to achieve that elusive 'film look'? Don't add a filter in post, shoot film! You can still experience the fantastic grain and depth of film by shooting with Arri's venerated SR series of 16mm cameras.</t>
  </si>
  <si>
    <t>16SR3_Advanced_frei_weiss.jpg</t>
  </si>
  <si>
    <t>MK2 Geared Head</t>
  </si>
  <si>
    <t>For use on Arri 16SR Series Cameras.</t>
  </si>
  <si>
    <t>16SR 12 Volt Onboard Batteries and Charger</t>
  </si>
  <si>
    <t>Arri12VOnboardbattery.jpg</t>
  </si>
  <si>
    <t>333edccca0.jpg</t>
  </si>
  <si>
    <t>Arrisoft 1K Zip Light</t>
  </si>
  <si>
    <t>209.jpg</t>
  </si>
  <si>
    <t>Alexa XT Plus</t>
  </si>
  <si>
    <t>The film and tv industry has embraced this incredible camera from Arri, and you should too. 14 stops of dynamic range and a base sensitivity of 800 iso, this camera functions especially well in low light situations. With its 4:3 Super 35mm sensor, you can't go wrong with this image that has served well on indie films such as Drive as well as major hollywood blockbusters like Gravity and The Avengers.</t>
  </si>
  <si>
    <t>alexa-xt-plus-right-with-wcu-4.jpg</t>
  </si>
  <si>
    <t>Alexa Mini</t>
  </si>
  <si>
    <t>The film and tv industry has embraced this incredible camera from Arri, and you should too. Like it's big brother the Amira, this tiny camera will record 4K footage. It's capable of recording up to 200 fps, and the light weight body makes it ideal for tracking shots via Movi or Drone operating.</t>
  </si>
  <si>
    <t>alexa-mini_features_13.jpg</t>
  </si>
  <si>
    <t>Matte Box</t>
  </si>
  <si>
    <t>An indispensable piece of equipment, a matte box always proves itself necessary. And Arri make quality matte boxes you can count on for keeping out unwanted flares and housing filters.</t>
  </si>
  <si>
    <t>arri_matte_box.jpg</t>
  </si>
  <si>
    <t>Category</t>
  </si>
  <si>
    <t>Sub Category</t>
  </si>
  <si>
    <t>Arri_571991P_Softbank_III_Plus_5_1297432867000_752202.jpg</t>
  </si>
  <si>
    <t>IV SoftBank Kit</t>
  </si>
  <si>
    <t>LMB-25</t>
  </si>
  <si>
    <t>Arri-LMB-25-Clip-On-Matte-Box.jpg</t>
  </si>
  <si>
    <t>FF-4 Follow Focus</t>
  </si>
  <si>
    <t>This studio follow focus is solidly built by Arri and adaptable to either 15mm or 19mm rods.</t>
  </si>
  <si>
    <t>FF-4_mpa_02.jpg</t>
  </si>
  <si>
    <t>This studio follow focus is solidly built by Arri and adaptable to either 15mm (or 19mm rods with an adapter).</t>
  </si>
  <si>
    <t>FF-5 Follow Focus</t>
  </si>
  <si>
    <t>f5.png</t>
  </si>
  <si>
    <t>MFF-2 Follow Focus</t>
  </si>
  <si>
    <t>The demands of DSLR shooting prompted Arri to design this follow focus. Specifically designed for DSLR and small video cameras, it works with 15mm rods.</t>
  </si>
  <si>
    <t>MFF-2_mpa_07.jpg</t>
  </si>
  <si>
    <t>Fresnel Lights</t>
  </si>
  <si>
    <t>Arri Fresnel lights provide a versatility that few others can. They give off a smooth, even field of light, and when used with barndoors can be shaped to fit a multitude of situations from interviews to music videos to feature films and much more.</t>
  </si>
  <si>
    <t>lighting_preview.png</t>
  </si>
  <si>
    <t>M18 HMI with Ballast</t>
  </si>
  <si>
    <t>The M18 HMI is a spectacular light capable of pumping out 1.8K watts of light. And it can do that on a 20 amp household circuit.</t>
  </si>
  <si>
    <t>Arri_518560_M18_HMI_Lamphead_With_1263568687000_664970.jpg</t>
  </si>
  <si>
    <t>435 35mm Camera</t>
  </si>
  <si>
    <t>Film still lives in this workhorse of a 35mm camera. Best used with MOS projects due to its noise, it is capable of running from 1-150 fps.</t>
  </si>
  <si>
    <t>Arri435-filmcamera.jpg</t>
  </si>
  <si>
    <t>EF Mount</t>
  </si>
  <si>
    <t>Arri-EF-Mount-Rentals-NYC.jpg</t>
  </si>
  <si>
    <t>WCU4 Follow Focus</t>
  </si>
  <si>
    <t>Arri-WCU4-Rentals-NY.jpg</t>
  </si>
  <si>
    <t>SXU1</t>
  </si>
  <si>
    <t>Arri-SXU1-Wireless-Follow-Focus-Rentals-NYC.jpg</t>
  </si>
  <si>
    <t>SMB-1</t>
  </si>
  <si>
    <t>Arri-SMB-1-6x6-Matte-Box-Rentals-NYC.jpg</t>
  </si>
  <si>
    <t>MB20 II</t>
  </si>
  <si>
    <t>Arri-MB20-II-Matte-Box-Rental-NYC.jpg</t>
  </si>
  <si>
    <t>Arri-LMB-6-Matte-Box-Rentals-NYC.jpg</t>
  </si>
  <si>
    <t>LMB-6</t>
  </si>
  <si>
    <t>35 III 35mm Camera</t>
  </si>
  <si>
    <t>Trying to achieve that elusive 'film look'? Don't add a filter in post, shoot film! You can still experience the fantastic grain and depth of film by shooting with Arri's venerated 3rd Generation series of 35mm film cameras.</t>
  </si>
  <si>
    <t>Screen_Shot_2017-09-28_at_11.10.19_AM.png</t>
  </si>
  <si>
    <t>Skypanel s60</t>
  </si>
  <si>
    <t>Skypanel_S60_-_C_LED_Kit_(2800_-_10000K)_600.jpg</t>
  </si>
  <si>
    <t>Digital Dimmer 1800w</t>
  </si>
  <si>
    <t>Ultra Prime Lenses</t>
  </si>
  <si>
    <t>arri-8mm-.jpg</t>
  </si>
  <si>
    <t>UWZ 9.5-18mm T2.9</t>
  </si>
  <si>
    <t>ARRI_Ultra_Wide_Zoom_-_dark.jpg</t>
  </si>
  <si>
    <t>1200W HMI Fresnel with 6.9" Lens</t>
  </si>
  <si>
    <t>1200w par HMI</t>
  </si>
  <si>
    <t>575w Fresnel HMI</t>
  </si>
  <si>
    <t>FF-2 Follow Focus</t>
  </si>
  <si>
    <t>Arri Double-Sided Studio Follow Focus features removable dummy side. It uses standard Arri whip, crank, and focus mark discs. The FF2 is available in Studio 15mm only.</t>
  </si>
  <si>
    <t>A.FF-2.2.jpg</t>
  </si>
  <si>
    <t>FF-1 Mini Follow Focus</t>
  </si>
  <si>
    <t>for 15mm rods</t>
  </si>
  <si>
    <t>26_12_20101293395986arri_mff-1_1.jpg</t>
  </si>
  <si>
    <t>Alexa SXT EV</t>
  </si>
  <si>
    <t>While keeping the sensor and user interface of the original ALEXA design, the capabilities of ALEXA SXT cameras have been greatly extended. Equipped with the powerful electronics and sophisticated image processing of the ALEXA 65, SXT cameras can manage more recording formats and handle more processor-intensive tasks such as calculating looks with 3D LUTs or color space conversions to Rec 2020, all in real time. Building on work done originally for the ALEXA Mini and AMIRA, the new ARRI look management and optional noise reduction help creative filmmakers get their ideas across. And last but not least, the new media bay can accept a wide range of media, as well as the new, high-performance SXR Capture Drives. Film-like, organic look High Dynamic Range 14+ stops dynamic range over the entire EI range as measured with the ARRI Dynamic Range Test Chart future proof for High Dynamic Range (HDR) displays 16 bit in-camera processing gentle highlight roll-off low noise floor holds up extremely well when over or underexposed Sharp, natural images for HD, 2K, 4K UHD and 4K Cine deliverables Unique tall sensor is ideal for anamorphic shooting High Frame Rate (HFR) up to 120 fps in full image quality High sensitivity true base sensitivity of EI 800 adjustable from EI 160 to EI 3200</t>
  </si>
  <si>
    <t>ar-k10006178-alexa-sxt-ev-basic-camera-set-angled_v1.medium.jpg</t>
  </si>
  <si>
    <t>Alexa SXT Plus</t>
  </si>
  <si>
    <t>The ALEXA SXT Plus is the most versatile and flexible of the ALEXA SXT cameras, a true all-rounder. With an integrated wireless radio for camera and lens remote control, tilt/roll sensors, electronic horizon and additional connectors for camera and lens control, signal output and accessory power, the ALEXA SXT Plus offers the best value and widest range of uses. Film-like, organic look High Dynamic Range 14+ stops dynamic range over the entire EI range as measured with the ARRI Dynamic Range Test Chart future proof for High Dynamic Range (HDR) displays 16 bit in-camera processing gentle highlight roll-off low noise floor holds up extremely well when over or underexposed Sharp, natural images for HD, 2K, 4K UHD and 4K Cine deliverables Unique tall sensor is ideal for anamorphic shooting High Frame Rate (HFR) up to 120 fps in full image quality High sensitivity true base sensitivity of EI 800 adjustable from EI 160 to EI 3200</t>
  </si>
  <si>
    <t>Alexa SXT Studio</t>
  </si>
  <si>
    <t>At the pinnacle of the Super 35 format ALEXA range is the ALEXA SXT Studio, featuring a quiet, rotating mirror shutter with adjustable shutter angle and an optical viewfinder that provides real-time, high-contrast images. The ALEXA SXT Studio is a direct response to cinematographers’ requests for a camera that perfectly combines cutting-edge digital image acquisition with traditional elements of the film cameras they have known and trusted for generations. Film-like, organic look High Dynamic Range 14+ stops dynamic range over the entire EI range as measured with the ARRI Dynamic Range Test Chart future proof for High Dynamic Range (HDR) displays 16 bit in-camera processing gentle highlight roll-off low noise floor holds up extremely well when over or underexposed Sharp, natural images for HD, 2K, 4K UHD and 4K Cine deliverables Unique tall sensor is ideal for anamorphic shooting High Frame Rate (HFR) up to 120 fps in full image quality High sensitivity true base sensitivity of EI 800 adjustable from EI 160 to EI 3200</t>
  </si>
  <si>
    <t>Alexa Plus 4:3</t>
  </si>
  <si>
    <t>The ALEXA Plus 4:3 joins the ALEXA Studio and ALEXA M, which already have 4:3 sensors, rounding out a line-up that now represents the perfect solution for anamorphic productions. The Studio might typically function as an A-camera, the Plus 4:3 as a B-camera and the M as a compact, versatile C-camera. Film-like, organic look High Dynamic Range 14+ stops exposure latitude over the entire EI range as measured with the ARRI Dynamic Range Test Chart extended, clean highlights extremely low noise floor holds up extremely well when over or underexposed future proof for High Dynamic Range (HDR) displays Sharp, natural images for HD, 2K, 4K UHD or 4K Cine deliverables High sensitivity true base sensitivity of EI 800 adjustable from EI 160 to EI 3200</t>
  </si>
  <si>
    <t>b_alexa_plus_4-3_03.jpg</t>
  </si>
  <si>
    <t>Alexa XT Studio</t>
  </si>
  <si>
    <t>At the pinnacle of the range is the ALEXA XT Studio (XT = Xtended Technology), featuring a quiet, adjustable mirror shutter and an optical viewfinder that provides a real-time, high contrast image with true colors. Additionally, the ALEXA XT Studio is equipped with an internal motorized ND filter and a DNxHD license. The Studio is a direct response to cinematographers requests for a camera that perfectly combines cutting edge digital image-making with traditional elements of the film cameras they have known and trusted for generations. Like all ALEXA XT cameras it has a Super 35 sensor with Open Gate and 4:3 sensor modes, in-camera ARRIRAW up to 120 fps, ProRes 4444 XQ, ProRes 3.2K, internal ND filter, Lens Data System, integrated CDL capture, ARRIRAW checksum, included anamorphic de-squeeze and high speed licenses, new viewfinder mounting bracket as well as a new, super silent fan.</t>
  </si>
  <si>
    <t>Alexa_XT_Plus_with_Logo.jpg</t>
  </si>
  <si>
    <t>Audix</t>
  </si>
  <si>
    <t>SCX1-HC</t>
  </si>
  <si>
    <t>Cancelling out unwanted noise with this condenser mic from Audix is as easy as pointing it in the right direction. Its hypercardioid pattern focuses on the sound you want by keeping the off-axis sections of the microphone head from picking up unwanted noise. This makes it a fine choice for capturing bands in the studio, or live.</t>
  </si>
  <si>
    <t>SCX-one_str.jpg</t>
  </si>
  <si>
    <t>Atomos</t>
  </si>
  <si>
    <t>Ninja 2</t>
  </si>
  <si>
    <t>For anyone shooting 1080p that needs a quick output to edit in Final Cut or Avid, the Ninja line is the answer. With its built in HDMI recorder, you can get 10-bit recording straight frmo the camera's sensor to a variety of Apple Pro Res or Avid DNxHD files. And the touchscreen has a resolution of 800x400, which makes for a handy on-camera monitor. Great alternative to the more expensive Ninja Assassin or Odyssey Series when 4K is not needed.</t>
  </si>
  <si>
    <t>ninja2.jpg</t>
  </si>
  <si>
    <t>Samurai</t>
  </si>
  <si>
    <t>menu-products-samurai-blade.png</t>
  </si>
  <si>
    <t>Shogun</t>
  </si>
  <si>
    <t>shogun-flame-product.png</t>
  </si>
  <si>
    <t>Ninja Star</t>
  </si>
  <si>
    <t>atomos_ato_ninja_star_ninja_pocket_size_recorder_1414597574000_1046388.jpg</t>
  </si>
  <si>
    <t>Ninja Assasin</t>
  </si>
  <si>
    <t>atomos_atomnjass1_ninja_assassin_1441111857000_1180283.jpg</t>
  </si>
  <si>
    <t>Ninja Blade</t>
  </si>
  <si>
    <t>atomos_atomnja004_ninja_blade_5_hdmi_1393510850000_1033457.jpg</t>
  </si>
  <si>
    <t>Power Station Video</t>
  </si>
  <si>
    <t>atomos_atompws002_atomos_power_station_1436458150000_1148546.jpg</t>
  </si>
  <si>
    <t>Samurai Blade 5" SDI Monitor</t>
  </si>
  <si>
    <t>atomos_atomsmb001_atomos_samuari_blade_with_1404914719000_1051310.jpg</t>
  </si>
  <si>
    <t>Sumo</t>
  </si>
  <si>
    <t>Atomos aims to impress with this 19" recorder/monitor. Record 4K (4096 x 2160) at up to 60 fps. For viewing on this touchscreen monitor (at 1920x1080), you can switch between HDR views and LUTs easily, even viewing the HDR approximation while recording Rec 709.</t>
  </si>
  <si>
    <t>1493135125000_1334246.jpg</t>
  </si>
  <si>
    <t>Atomos has crafted a 7" touch screen monitor that serves as a recorder. Using the proress or DNxHR, you can record RAW 4K for certain cameras. When doing UHD 4K you can record up to 30 fps on this 1920x1200 touchscreen. And HDR technology allows for viewing 10 stops dynamic range on log footage. HDMI or SDI inputs.</t>
  </si>
  <si>
    <t>Shogun Flame</t>
  </si>
  <si>
    <t>1493217849000_IMG_781833.jpg</t>
  </si>
  <si>
    <t>Ninja Flame</t>
  </si>
  <si>
    <t>Atomos has crafted a 7" touch screen monitor that serves as a recorder. Using the proress or DNxHR, you can record RAW 4K for certain cameras. When doing UHD 4K you can record up to 30 fps on this 1920x1200 touchscreen. And HDR technology allows for viewing 10 stops dynamic range on log footage. HDMI inputs.</t>
  </si>
  <si>
    <t>1493217331000_1329149.jpg</t>
  </si>
  <si>
    <t>JK Audio</t>
  </si>
  <si>
    <t>As JK Audio describes it: "The innkeeper 1x gets audio in and out of analog telephone lines. Its excellent caller audio output does not exhibit the transmit/receive crosstalk common to analog hybrids. This makes innkeeper 1x perfect for radio or television talk shows, teleconferencing, or auto-answer IFB feeds. "</t>
  </si>
  <si>
    <t>Inkeeper Telephone Interface</t>
  </si>
  <si>
    <t>innkeeper-1rx-lg.png</t>
  </si>
  <si>
    <t>Remote Mix</t>
  </si>
  <si>
    <t>RemoteMix is a field mixer and headphone amplifier that also serves as a communications interface. It features a phone line hybrid and keypad, a PBX handset interface, and a cell phone interface. All this in a tough, portable unit that’s smaller than a lunch box.</t>
  </si>
  <si>
    <t>RemoteMix-4-lg.png</t>
  </si>
  <si>
    <t>Use the ComPack telephone interface to to get audio in and out of analog phone lines, PBX systems, and cell phones. Works well for Remote Broadcasts, IFB feeds, or interviews over any phone connection.</t>
  </si>
  <si>
    <t>Compac Telephone Interface</t>
  </si>
  <si>
    <t>ComPack-lg-front.png</t>
  </si>
  <si>
    <t>Digital Telephone Hybrid</t>
  </si>
  <si>
    <t>JK_Audio_INN2_Innkeeper_2_Digital_Hybrid_1447857466000_399948.jpg</t>
  </si>
  <si>
    <t>This fast 2.8 lens from Angenieux features constant length as the focus is changed (so no breathing!). And the advanced optics will cover any 4K or Super 35mm camera. 114mm outer ring. The Style set of lenses can also be adapted to work on CF mounts or Panavision camreas.</t>
  </si>
  <si>
    <t>16-40 T2.8 Optimo Style</t>
  </si>
  <si>
    <t>large_Angenieux_DP_optimo_16-42.jpg</t>
  </si>
  <si>
    <t>24-290 T2.8 Optimo</t>
  </si>
  <si>
    <t>This responsive and very fast lens (T2.8) from Angenieux does not ramp or breath for the full lenght of its range. Yes, you read that correctly. Go from 24mm to 290mm and be smooth as silk the entire time.</t>
  </si>
  <si>
    <t>Optimo24-290.png</t>
  </si>
  <si>
    <t>25-250 Optimo Style</t>
  </si>
  <si>
    <t>optimo-style-25250.png</t>
  </si>
  <si>
    <t>19x7.3 AIF HR</t>
  </si>
  <si>
    <t>19x7.3_AIF_HR.jpg</t>
  </si>
  <si>
    <t>16-42 T2.8 Optimo</t>
  </si>
  <si>
    <t>large_Angenieux_DP_optimo_16-42-1.jpg</t>
  </si>
  <si>
    <t>28-76 T2.6 Optimo</t>
  </si>
  <si>
    <t>optimo-2876.png</t>
  </si>
  <si>
    <t>45-120 T2.8 Optimo</t>
  </si>
  <si>
    <t>optimo-45120.png</t>
  </si>
  <si>
    <t>15-40 T2.6 Optimo</t>
  </si>
  <si>
    <t>agnieaux_optimo.png</t>
  </si>
  <si>
    <t>17-80 T2.2 Optimo</t>
  </si>
  <si>
    <t>Screen_Shot_2016-04-24_at_12.34.31_PM.png</t>
  </si>
  <si>
    <t>30-80 T2.8 Optimo DP</t>
  </si>
  <si>
    <t>30-80.jpg</t>
  </si>
  <si>
    <t>30-76 T2.8 Optimo</t>
  </si>
  <si>
    <t>Angenieux-30-76-Optimo-Lens.jpg</t>
  </si>
  <si>
    <t>Angenieux</t>
  </si>
  <si>
    <t>B</t>
  </si>
  <si>
    <t>Lighting</t>
  </si>
  <si>
    <t>Tungsten</t>
  </si>
  <si>
    <t>Cameras</t>
  </si>
  <si>
    <t>Film Cameras</t>
  </si>
  <si>
    <t>Digital Cinema Cameras</t>
  </si>
  <si>
    <t>Tripods, Support and Rigs</t>
  </si>
  <si>
    <t>Fluid Heads and Tripods</t>
  </si>
  <si>
    <t>Camera Accessories</t>
  </si>
  <si>
    <t>Batteries and Camera Power</t>
  </si>
  <si>
    <t>Matteboxes</t>
  </si>
  <si>
    <t>Follow Focus</t>
  </si>
  <si>
    <t>HMI</t>
  </si>
  <si>
    <t>Camera Adapters/ Mounts</t>
  </si>
  <si>
    <t>LED</t>
  </si>
  <si>
    <t>Lighting Accessories</t>
  </si>
  <si>
    <t>Lenses</t>
  </si>
  <si>
    <t>Cinema Lenses</t>
  </si>
  <si>
    <t>Audio Equipment</t>
  </si>
  <si>
    <t>Mics</t>
  </si>
  <si>
    <t>Monitors</t>
  </si>
  <si>
    <t>Monitor/ Recorder</t>
  </si>
  <si>
    <t>Recorders and Decks</t>
  </si>
  <si>
    <t>Monitors/Recorders and EVFS</t>
  </si>
  <si>
    <t>Telephone Audio Interface</t>
  </si>
  <si>
    <t>HDTV Lenses</t>
  </si>
  <si>
    <t>1254335798000_102983.jpg</t>
  </si>
  <si>
    <t>Arri-daylight-compact-575-HMI.png</t>
  </si>
  <si>
    <t>Don't let it's size fool you, this pocket sized camera packs a whallop. With 13 stops of dynamic range and a high resolution super 16 sensor, it gives you the tools you need to get professional grade images in a tiny package. And with the ability to record straight to ProRes, it makes the post workflow a snap.</t>
  </si>
  <si>
    <t>blackmagic_pocket.jpg</t>
  </si>
  <si>
    <t>Don't let it's size fool you, this pocket sized camera packs in 4K resolution in a tiny package. With 12 stops of dynamic range and a Super 35 Sensor with a global shutter, this Blackmagic camera gives you the tools you need to make a competative, professional image. And the ability to record straight to a variety of codecs, including ProRes HQ, makes post workflow a snap.</t>
  </si>
  <si>
    <t>Production Camera 4k</t>
  </si>
  <si>
    <t>Pocket Cinema Camera</t>
  </si>
  <si>
    <t>black_magic_production_camera.jpg</t>
  </si>
  <si>
    <t>The 5” Video Assist features a 1920 x 1080 screen, HD recorder, and a down converter for monitoring and recording HD from Ultra HD cameras. The large screen makes it easier to focus and frame shots, and the recorder saves files that are far superior quality than the highly compressed files that DSLRs record! 1920 x 1080 Touchscreen LCD Records 1080p up to 60 fps 10-Bit, 4:2:2 ProRes &amp; DNxHD Encoding HDMI and 6G-SDI Video Inputs Loop-Through Video Outputs Stores to Single SDHC/SDXC Memory Card On-Screen Histogram and Audio Levels Focus Peaking &amp; Zebra</t>
  </si>
  <si>
    <t>Video Assist 5" Recording Monitor</t>
  </si>
  <si>
    <t>1429023431000_IMG_485577.jpg</t>
  </si>
  <si>
    <t>Super-35mm CMOS Sensor 4000 x 2160 Video up to 60p Compressed &amp; Uncompressed Raw Recording Ready-to-Edit ProRes 444 + 422 Recording Dual CFast 2.0 Memory Card Slots 12G-SDI Output, Timecode &amp; REF Input 1080p Flip-Out Screen Touchscreen Interface 2 x XLR Audio Inputs with Phantom Power Magnesium Alloy Body</t>
  </si>
  <si>
    <t>Ursa Mini 4K</t>
  </si>
  <si>
    <t>blackmagic-ursa-mini-46k-ef.jpg</t>
  </si>
  <si>
    <t>ATEM Television Studio</t>
  </si>
  <si>
    <t>atemtelevisionstudio.jpg</t>
  </si>
  <si>
    <t>ATEM Production Studio</t>
  </si>
  <si>
    <t>blackmagic_design_swatempsw04k_atem_production_studio_4k_1428967874000_1137285.jpg</t>
  </si>
  <si>
    <t>Video Assist 4K 7" Recording Monitor</t>
  </si>
  <si>
    <t>Video Assist 4K features a 7” high resolution screen, two high speed recorders for non-stop Ultra HD recording, XLR mic inputs, a built in speaker and more! The larger screen is 1920 x 1200, so you can see a full 16:9 image without the status bar covering the picture. Video Assist 4K features the latest high speed UHS-II SD card recorders and can record 1080 HD as well as Ultra HD up to 2160p30 on low cost, readily available SD cards! 1920 x 1200 Touchscreen LCD Records UHD 4K/HD Up to 30 fps Apple ProRes and Avid DNx Codecs HDMI and 6G-SDI Video Inputs Dual SD Media Card Slots Supports UHS-II Two Mini XLR Inputs with Phantom Power On-Screen Histogram and Audio Levels Focus Peaking &amp; Zebra</t>
  </si>
  <si>
    <t>blackmagic_design_hyperd_avidas74k_video_assist_4k_1461095041000_1247829.jpg</t>
  </si>
  <si>
    <t>Cinema Camera 2.5K</t>
  </si>
  <si>
    <t>1414074055000_1082826.jpg</t>
  </si>
  <si>
    <t>Blackmagic has outfitted its cinema camera nicely with a new 4.6K Super-35mm CMOS Sensor. Record 4608 x 2592 Video up to 60p.</t>
  </si>
  <si>
    <t>Ursa Mini Pro 4.6K</t>
  </si>
  <si>
    <t>1488559602000_1322801.jpg</t>
  </si>
  <si>
    <t>This little camera from Blackmagic puts 4K in the palm of your hand. So be it on a drone or a gimbal, this one is truly versatile. Active Micro Four Thirds Lens Mount Resolutions Up to 3840x2160 at 30 fps 10-Bit 4:2:2 6G-SDI Video I/O Ultra-Compact Design SDI Remote Control Protocols PTZ Serial Output &amp; B4 Data Link Built-In Talkback HDMI Monitor Output, 3.5mm Audio In Built-In Color Corrector Canon LP-E6 Battery Slot</t>
  </si>
  <si>
    <t>Micro Studio Camera 4K</t>
  </si>
  <si>
    <t>blackmagic_design_cinstudmft_uhd_mr_micro_studio_cinema_camera_1510259820000_1137295.jpg</t>
  </si>
  <si>
    <t>This little camera from Blackmagic puts full HD video in the palm of your hand. So be it on a drone or a gimbal, this one is truly versatile. Super 16mm-Sized Image Sensor Active Micro Four Thirds Lens Mount 13 Stops of Dynamic Range Records Full HD 1920x1080 CinemaDNG RAW Apple ProRes 422 (HQ) at 220 Mbps Ultra-Compact Design Expansion Port with Radio Control Ports SDHC/SDXC Memory Card Slot HDMI &amp; Composite Output, 3.5mm Audio In</t>
  </si>
  <si>
    <t>Micro Cinema Camera</t>
  </si>
  <si>
    <t>blackmagic_design_cinecammichdmft_micro_cinema_camera_1472830602000_1137292.jpg</t>
  </si>
  <si>
    <t>Ursa</t>
  </si>
  <si>
    <t>3840 x 2160p Global Shutter CMOS Sensor 12 Stops of Dynamic Range 10.1", 1080p Flip-Out LCD Screen Dual 5" Touchscreens for Menu Access Records CinemaDNG RAW and ProRes 12G-SDI Output for 10-Bit 4:2:2 4K 2x XLR Audio Inputs with Phantom Power Aluminum Frame with 3/8"-16 Mounting LANC Port for START/STOP, Iris, Focus Dual CFast 2.0 Card Slots</t>
  </si>
  <si>
    <t>blackmagic_design_cinecamursa4k_pl_ursa_4k_digital_cinema_1396974081000_1044786.jpg</t>
  </si>
  <si>
    <t>Lowel (owned by Tiffen)</t>
  </si>
  <si>
    <t>The Lowel Rifa EX 88 is ideal for serving as a soft source. Its glass woven frontal diffusion not only spreads the light out evenly, but it also sustains high temperatures that the 1000 watt tungsten bulb produces. Great for a studio setup or interview on location when soft light is needed, and its foldable umbrella-like design makes setup a snap.</t>
  </si>
  <si>
    <t>Rifa ex88</t>
  </si>
  <si>
    <t>rifa88.jpg</t>
  </si>
  <si>
    <t>The Lowel Rifa EX 55 is ideal for serving as a soft source. Its glass woven frontal diffusion not only spreads the light out evenly, but it also sustains high temperatures that the 500 watt tungsten bulb produces. Great for a studio setup or interview on location when soft light is needed, and its foldable umbrella-like design makes setup a snap.</t>
  </si>
  <si>
    <t>Rifa ex55</t>
  </si>
  <si>
    <t>rifa55.jpg</t>
  </si>
  <si>
    <t>The Lowel Rifa EX 66 is ideal for serving as a soft source. Its glass woven frontal diffusion not only spreads the light out evenly, but it also sustains high temperatures that the 750 watt tungsten bulb produces. Great for a studio setup or interview on location when soft light is needed, and its foldable umbrella-like design makes setup a snap.</t>
  </si>
  <si>
    <t>Rifa ex66</t>
  </si>
  <si>
    <t>rifa66.jpg</t>
  </si>
  <si>
    <t>Generic Brand</t>
  </si>
  <si>
    <t>Camera Operaor / DP</t>
  </si>
  <si>
    <t>Sound Recordist</t>
  </si>
  <si>
    <t>Lighting Director/ Gaffer</t>
  </si>
  <si>
    <t>Clamp</t>
  </si>
  <si>
    <t>10lbs Sand Bag</t>
  </si>
  <si>
    <t>5lbs Sand Bags (6)</t>
  </si>
  <si>
    <t>Green Screen 12'x12'</t>
  </si>
  <si>
    <t>Signal Switcher Scaler</t>
  </si>
  <si>
    <t>32GB CF Card</t>
  </si>
  <si>
    <t>16GB CF Card</t>
  </si>
  <si>
    <t>Sand Bags</t>
  </si>
  <si>
    <t>Gobo Head</t>
  </si>
  <si>
    <t>Mafer Clamp</t>
  </si>
  <si>
    <t>Duckbill Clamp</t>
  </si>
  <si>
    <t>Chain Vice</t>
  </si>
  <si>
    <t>Scissor Clamp</t>
  </si>
  <si>
    <t>Floppy Cutter 48"x48"</t>
  </si>
  <si>
    <t>Open Cutter Frame 48"x48"</t>
  </si>
  <si>
    <t>Flag 24"x36"</t>
  </si>
  <si>
    <t>Black Double Scrim 24"x36"</t>
  </si>
  <si>
    <t>Black Single 24"x36"</t>
  </si>
  <si>
    <t>China Silk White 24"x36"</t>
  </si>
  <si>
    <t>50' Stinger Power Cable</t>
  </si>
  <si>
    <t>90 Degree Cheeseborough Clamps</t>
  </si>
  <si>
    <t>Ratchet Straps</t>
  </si>
  <si>
    <t>Speed Rail 1 1/4"x 10'</t>
  </si>
  <si>
    <t>4"x4.56" Filters</t>
  </si>
  <si>
    <t>Dumb Slate</t>
  </si>
  <si>
    <t>Grey Card</t>
  </si>
  <si>
    <t>25lbs Sand bag</t>
  </si>
  <si>
    <t>15mm Aluminium Rod Set</t>
  </si>
  <si>
    <t>3_ton_grip_package.jpg</t>
  </si>
  <si>
    <t>2-ton_truck.jpg</t>
  </si>
  <si>
    <t>camera_operator.jpg</t>
  </si>
  <si>
    <t>Sound_Recordist_.jpg</t>
  </si>
  <si>
    <t>behind-the-scenes_film_equipment.jpg</t>
  </si>
  <si>
    <t>Matthews_756140_Century_C_Turtle_Base_1426805299000_112099.jpg</t>
  </si>
  <si>
    <t>url.jpg</t>
  </si>
  <si>
    <t>Matthews_B540004_Super_Mafer_Clamp_1323453262000_139560.jpg</t>
  </si>
  <si>
    <t>heavy-duty-shot-bag-10lb-green-7.jpg</t>
  </si>
  <si>
    <t>heavy-duty-shot-bag-5lb-green-7.jpg</t>
  </si>
  <si>
    <t>Lastolite_LL_LC5781_10x12_Green_Chromakey_Background_1313600905000_216015.jpg</t>
  </si>
  <si>
    <t>3696905.jpg</t>
  </si>
  <si>
    <t>sandisk_sdcfxs_032g_a46_32gb_extreme_compact_flash_1385569138000_1003355.jpg</t>
  </si>
  <si>
    <t>sandisk_sdcfhs_016g_a46_16gb_ultra_compactflash_memory_1384443442000_1012243.jpg</t>
  </si>
  <si>
    <t>shopping.jpg</t>
  </si>
  <si>
    <t>heavy-duty-shot-bag-5lb-black-12.jpg</t>
  </si>
  <si>
    <t>Matthews_350580_Hollywood_Grip_Head_1268682572000_139495.jpg</t>
  </si>
  <si>
    <t>Matthews_541004_Super_Mafer_Clamp_with_1458684501000_320238.jpg</t>
  </si>
  <si>
    <t>6852.jpg</t>
  </si>
  <si>
    <t>Ridgid_40210_Pipe_Vise_BC610_Chain_Vise_74989.1450384100.1280.1280__22407.1452797005.600.600.jpg</t>
  </si>
  <si>
    <t>Avenger_C1000_C1000_Drop_Ceiling_Scissor_Clamp_1232864675000_3569.jpg</t>
  </si>
  <si>
    <t>Matthews_169028B_48x48_Floppy_Cutter_1453835223000_216724.jpg</t>
  </si>
  <si>
    <t>48x48-inch-4x4-open-cutter-frame-stainless-n4848ff-3.jpg</t>
  </si>
  <si>
    <t>Matthews_169062_24x36_Flag_1315341504000_32828.jpg</t>
  </si>
  <si>
    <t>Matthews_149064_Open_End_Scrim_1326737557000_32778.jpg</t>
  </si>
  <si>
    <t>Matthews_149064_Open_End_Scrim_1326737557000_32778-1.jpg</t>
  </si>
  <si>
    <t>24-x36-china-silk-white-18.jpg</t>
  </si>
  <si>
    <t>tcac12325.jpg</t>
  </si>
  <si>
    <t>van.jpg</t>
  </si>
  <si>
    <t>A.K.A cheeseboro clamp</t>
  </si>
  <si>
    <t>480f9598-484d-4187-ad76-bdcac334fa04_400.jpg</t>
  </si>
  <si>
    <t>H-1415.jpg</t>
  </si>
  <si>
    <t>1461081878000_1244769.jpg</t>
  </si>
  <si>
    <t>formatt_hitech_fc4x5ndkit2_4_x_5_65_firecrest_1406475322000_1060788.jpg</t>
  </si>
  <si>
    <t>download.jpg</t>
  </si>
  <si>
    <t>X_Rite_MSCCC_Original_ColorChecker_Card_1448298494000_465286.jpg</t>
  </si>
  <si>
    <t>Delta_98705C_Gray_Card_4_1232672324000_231564.jpg</t>
  </si>
  <si>
    <t>Chip Chart</t>
  </si>
  <si>
    <t>5_ton_truck.jpg</t>
  </si>
  <si>
    <t>1143.jpg</t>
  </si>
  <si>
    <t>710d67ca-95a0-4bd8-8dc8-0af32ca64e1d_1.8e0039aa774dcbb2cc2d8f7b540be4cd.jpg</t>
  </si>
  <si>
    <t>Speed Rail 1 1/4"x 5'</t>
  </si>
  <si>
    <t>Grip 3 Tonne Truck Package</t>
  </si>
  <si>
    <t>Grip 5 Tonne Truck Package</t>
  </si>
  <si>
    <t>Grip 1 Tonne Van Package</t>
  </si>
  <si>
    <t>Grip 2 Tonne Truck Package</t>
  </si>
  <si>
    <t>C- Stand</t>
  </si>
  <si>
    <t>C- Stand and Arm</t>
  </si>
  <si>
    <t>C-Stand 20"</t>
  </si>
  <si>
    <t>Bartech</t>
  </si>
  <si>
    <t>Wireless Follow Focus</t>
  </si>
  <si>
    <t>When pulling focus remotely, BarTech is a name synonymous with quality. If you need a signal that won't drop out while transmitting, this one is battle proven.</t>
  </si>
  <si>
    <t>tn_Bartech_Focus_device.jpg</t>
  </si>
  <si>
    <t>No Brand</t>
  </si>
  <si>
    <t>Diffusing light has never been easier. You can manipulate the sun or your HMIs any way you want with a good Butterfly. Whether it's a silk to cut down on the intensity, or solid black for some cutting or negative fill, this is a tool all outdoor and studio shoots should have.</t>
  </si>
  <si>
    <t>Butterfly</t>
  </si>
  <si>
    <t>butterfly_Frame.png</t>
  </si>
  <si>
    <t>Assorted Stands</t>
  </si>
  <si>
    <t>Assorted 64Gb Memory Card</t>
  </si>
  <si>
    <t>c-stands.jpg</t>
  </si>
  <si>
    <t>Assorted Grip Clamps</t>
  </si>
  <si>
    <t>c_clamp.jpg</t>
  </si>
  <si>
    <t>C</t>
  </si>
  <si>
    <t>Canon</t>
  </si>
  <si>
    <t>5D Mark III</t>
  </si>
  <si>
    <t>7D</t>
  </si>
  <si>
    <t>7D Mark II</t>
  </si>
  <si>
    <t>XF300</t>
  </si>
  <si>
    <t>100mm f/2.8</t>
  </si>
  <si>
    <t>Speedlite Flashes</t>
  </si>
  <si>
    <t>60D</t>
  </si>
  <si>
    <t>70D</t>
  </si>
  <si>
    <t>24mm Lenses</t>
  </si>
  <si>
    <t>EF Sigma 150-300mm</t>
  </si>
  <si>
    <t>EF Sigma 30mm</t>
  </si>
  <si>
    <t>EF Tamron 10-24mm</t>
  </si>
  <si>
    <t>HJ22ex7.6B IRSE A/IASE A</t>
  </si>
  <si>
    <t>J17ex7.7B4</t>
  </si>
  <si>
    <t>J21x7.8</t>
  </si>
  <si>
    <t>KH20x6.4</t>
  </si>
  <si>
    <t>XC-10</t>
  </si>
  <si>
    <t>15.5-47mm Cinema Zoom Lens</t>
  </si>
  <si>
    <t>17-120mm T2.95-3.9 PL Cinema Zoom Lens</t>
  </si>
  <si>
    <t>30-105mm T2.8 LS CN-E</t>
  </si>
  <si>
    <t>25-120mm T2.8 PL Zoom</t>
  </si>
  <si>
    <t>11.5-138mm T2.5</t>
  </si>
  <si>
    <t>11-165mm T2.7</t>
  </si>
  <si>
    <t>85mm Lens</t>
  </si>
  <si>
    <t>45mm f/2.8 TS-E</t>
  </si>
  <si>
    <t>8-15mm f/4 Fisheye USM EF</t>
  </si>
  <si>
    <t>300mm f/2.8L IS II USM EF</t>
  </si>
  <si>
    <t>50mm f/1.2L USM EF</t>
  </si>
  <si>
    <t>35mm f/1.4L USM EF</t>
  </si>
  <si>
    <t xml:space="preserve">18-135mm f/3.5-5.6 IS EF-S </t>
  </si>
  <si>
    <t xml:space="preserve">135mm EF </t>
  </si>
  <si>
    <t xml:space="preserve">400mm f/2.8 IS II USM EF </t>
  </si>
  <si>
    <t xml:space="preserve">16-35mm f/2.8 II USM EF </t>
  </si>
  <si>
    <t xml:space="preserve">55-250mm f/4-5.6 IS STM EF-S </t>
  </si>
  <si>
    <t xml:space="preserve">24-105mm f/4 IS USM EF </t>
  </si>
  <si>
    <t xml:space="preserve">200-400mm f/4L IS USM Extender 1.4x EF </t>
  </si>
  <si>
    <t xml:space="preserve">50mm f/1.8 II EF </t>
  </si>
  <si>
    <t xml:space="preserve">50mm f/1.4 USM EF </t>
  </si>
  <si>
    <t xml:space="preserve">35-80mm f/4-5.6 III EF </t>
  </si>
  <si>
    <t xml:space="preserve">8-64mm Zoom T2.4 PL </t>
  </si>
  <si>
    <t xml:space="preserve">70-200mm f/2.8 IS II USM EF </t>
  </si>
  <si>
    <t xml:space="preserve">24-70mm f/2.8L II USM EF </t>
  </si>
  <si>
    <t xml:space="preserve">C300 Mark II EOS </t>
  </si>
  <si>
    <t xml:space="preserve">C100 EOS </t>
  </si>
  <si>
    <t xml:space="preserve">C100 Mark II EOS </t>
  </si>
  <si>
    <t xml:space="preserve">Rebel T5 EOS </t>
  </si>
  <si>
    <t xml:space="preserve">C300 EOS </t>
  </si>
  <si>
    <t>28-70mm f/2.8L USM EF</t>
  </si>
  <si>
    <t>70-300mm f/4-5.6L IS USM EF</t>
  </si>
  <si>
    <t xml:space="preserve">70-200mm f/2.8 EF </t>
  </si>
  <si>
    <t>8-15mm f/4L Fisheye USM EF</t>
  </si>
  <si>
    <t>70-300mm f4-5.6L IS USM EF</t>
  </si>
  <si>
    <t>17-55mm f/2.8 IS USM EF-S</t>
  </si>
  <si>
    <t>28-300mm f/3.5-5.6L IS USM EF</t>
  </si>
  <si>
    <t>50mm f/2.5 Compact Macro EF</t>
  </si>
  <si>
    <t>200mm f/2.8L II USM EF</t>
  </si>
  <si>
    <t>6D</t>
  </si>
  <si>
    <t>Assorted Batteries and Chargers</t>
  </si>
  <si>
    <t>EOS-M W/EF-M 22mm</t>
  </si>
  <si>
    <t>Extenders</t>
  </si>
  <si>
    <t>30-300mm T2.95-3.7L SP CN-E</t>
  </si>
  <si>
    <t>180mm f/3.5L Macro USM EF</t>
  </si>
  <si>
    <t>C500 EOS</t>
  </si>
  <si>
    <t>14mm f/2.8L II USM EF</t>
  </si>
  <si>
    <t>15mm f/2.8 Fisheye EF</t>
  </si>
  <si>
    <t>11-24mm f/4L USM EF</t>
  </si>
  <si>
    <t>100-400mm f/4.5-5.6L IS USM EF</t>
  </si>
  <si>
    <t>20mm f/2.8 USM EF</t>
  </si>
  <si>
    <t>28-135mm f/3.5-5.6 IS USM EF</t>
  </si>
  <si>
    <t>28mm EF</t>
  </si>
  <si>
    <t>40mm f/2.8 STM EF</t>
  </si>
  <si>
    <t>10-22mm f/3.5-4.5 USM EF-S</t>
  </si>
  <si>
    <t>15-85mm f/3.5-5.6 IS USM EF</t>
  </si>
  <si>
    <t>17-85mm f/4-5.6 IS USM EF</t>
  </si>
  <si>
    <t>18-55mm f/3.5-5.6 IS II EF-S</t>
  </si>
  <si>
    <t xml:space="preserve">60mm f/2.8 Macro USM EF-S </t>
  </si>
  <si>
    <t>XA Series Camcorders</t>
  </si>
  <si>
    <t>XL1 Series</t>
  </si>
  <si>
    <t>1D X EOS</t>
  </si>
  <si>
    <t>1D C EOS</t>
  </si>
  <si>
    <t>5D Mark II</t>
  </si>
  <si>
    <t>50mm T1.3L F CN-E</t>
  </si>
  <si>
    <t>LC E6 Battery</t>
  </si>
  <si>
    <t>LPE6</t>
  </si>
  <si>
    <t>11-16mm f/2.8</t>
  </si>
  <si>
    <t>Doubler</t>
  </si>
  <si>
    <t>Vixia HF S20</t>
  </si>
  <si>
    <t>85mm f/1.2L II EF</t>
  </si>
  <si>
    <t>600EX-RT Speedlight Flash</t>
  </si>
  <si>
    <t>70-200mm f/4L IS USM</t>
  </si>
  <si>
    <t>11-165mm T2.5</t>
  </si>
  <si>
    <t>150-600mm f/4 Rehoused PL</t>
  </si>
  <si>
    <t>24mm f/3.5L II TS-E</t>
  </si>
  <si>
    <t>500mm f/4L IS II USM EF</t>
  </si>
  <si>
    <t>24-105mm f/43.5-5.6 IS STM</t>
  </si>
  <si>
    <t>1D Mark IV</t>
  </si>
  <si>
    <t>BP7 Battery</t>
  </si>
  <si>
    <t>BP-955</t>
  </si>
  <si>
    <t>XF100</t>
  </si>
  <si>
    <t>24mm T1.5L F CN-E</t>
  </si>
  <si>
    <t>85mm T1.3L F CN-E</t>
  </si>
  <si>
    <t>If you are serious about video and film you need to master the Canon C300. The workhorse of the industry, the Canon C300 is modular, customizable, and portable, making it the ideal tool for gorgeous video, TV and small films. The EOS C300 Mark II Digital Cinema Camera is an evolutionary 2nd generation Cinema EOS 4K camera system with a wide range of new and improved features including 4K/2K/Full HD internal and external recording (including 4K RAW output) and a new 10-bit Canon Log 2 Gamma. - expanded dynamic range of 15 stops - improved Dual Pixel CMOS Autofocus - newly developed 8.85 Megapixel Canon Super 35mm 16:9 CMOS image sensor that supports up to 4K (DCI) recording with a maximum resolution of 4096 x 2160 pixels and a high-speed readout for reduced rolling-shutter distortion.</t>
  </si>
  <si>
    <t>EOS-D179-1-optimized.png</t>
  </si>
  <si>
    <t>Use this versatile lens for wide-to-zoom shots or selective focus with gorgeous soft backgrounds. One of Canon's most popular lenses, it carries a consistent f2.8 apeture throughout it's zoom range, minimizes chromatic abberation, and offers silent super fast autofocus.</t>
  </si>
  <si>
    <t>24310_1_xl.jpg</t>
  </si>
  <si>
    <t>Canon helped usher in the DSLR revolution with the 5D line, and the Mark III more than exceeded expectations to become the most versatile camera on the market. In the age of the 4k camera, this one still packs a punch with its stunning full frame sensor. There are endless possibilities to accessorize this compact camera, so it makes a perfect choice when quality 1080 output is needed, and the budget doesn't leave room for 4k.</t>
  </si>
  <si>
    <t>24460_1_l.jpg</t>
  </si>
  <si>
    <t>This compact camera is the little brother of the versatile C300, but don't let size fool you, it is a smart choice if you are looking to shoot 1080 on a budget. It sports the wonderul color of Canon's Super 35 EOMS sensor, as well as the Log Gamma which allows for 12 stops of dynamic range.</t>
  </si>
  <si>
    <t>c100-111.png</t>
  </si>
  <si>
    <t>This compact camera is the little brother of the versatile C300, but don't let size fool you, it is a smart choice if you are looking to shoot 1080 on a budget. It sports the wonderul color of Canon's Super 35 EOMS sensor, as well as the Log Gamma which allows for 12 stops of dynamic range. And with an improved Digic DV 4 Image Processor and MP4 recording, this one is a fine upgrade from the original C100 model."</t>
  </si>
  <si>
    <t>EOS-D179-1-optimized-1.png</t>
  </si>
  <si>
    <t>Canon has improved upon their long standing zoom lens with this model that features one fluorite and five UD elements for increased optical quality and reduced chromatic aberration. It holds a constant aperture of 2.8 throughout. Whether you're setting up an interview and want to push the background out of focus, or need those extra millimeters to shoot from far off, this is the lens for you. An industry standard.</t>
  </si>
  <si>
    <t>ef70-200_28usm_1_xl.jpg</t>
  </si>
  <si>
    <t>The longstanding favorite telephoto lens from Canon. This one is a classic with its four UD-glass elements to correct chromatic aberrations and a constant aperture of 2.8 throughout. Whether you're setting up an interview and want to push the background out of focus, or need those extra millimeters to shoot from far off, this is the lens for you.</t>
  </si>
  <si>
    <t>ef70-200_28usm_1_xl-1.jpg</t>
  </si>
  <si>
    <t>An oldy, but a goody. Commonly reffered to as the "Hurt Locker" lens, it will certainly work seamlessly for Super 16mm film shooting, but this T2.4 lens has found new life with digital cameras that have Super 16mm censors.</t>
  </si>
  <si>
    <t>bmcc-canon-8-64mm-f2-4.jpg</t>
  </si>
  <si>
    <t>This kit lens has a nice range of zoom from 35-80mm. It's perfect for someone just starting out, looking to practice, or capture some quality shots for a location scout or event.</t>
  </si>
  <si>
    <t>--_tcm13-27033.gif</t>
  </si>
  <si>
    <t>This is Canon’s better non-L series 50mm lens that features a f/1.4 aperture. The wide aperture allows the lens to be used in dim lighting, but it shows better sharpness stopped down to f/2.0 or so. The lens blurs backgrounds nicely, so it’s good for group portraits or spontaneous indoor pictures, especially when you don’t want to bother everyone with your flash.</t>
  </si>
  <si>
    <t>ef50_14usm_1_xl.jpg</t>
  </si>
  <si>
    <t>This classic offering from Canon is a great alternative to a zoom lens because at f/1.8 , it's very fast. It works great for blurring backgrounds during interviews or portraits.</t>
  </si>
  <si>
    <t>ef-50mm-f-18-stm_1_xl.jpg</t>
  </si>
  <si>
    <t>This Canon lens sports a long focal range of 200mm-400mm and will let you capture the images you need from quite a distance. And its 1.4x stabilizer, 4 Stop Image Stabilization, and a range of auto focus distances, your control of the lens at the end of its 400mm is made easy. Perfect for shooting footage of wildlife or sporting events.</t>
  </si>
  <si>
    <t>canon_c200-400.jpg</t>
  </si>
  <si>
    <t>Canon helped usher in the DSLR revolution with this 18-megapixel APS-C format CMOS sensor. It may not be full frame, but it still makes for compelling images. And it's true that video recording is capped at 12 minutes per clip, but for the price point, you won't find this quality of 1080p camera any cheaper. Plus you can do 60 frames at full 1080p!</t>
  </si>
  <si>
    <t>7d_1_xl.jpg</t>
  </si>
  <si>
    <t>Canon improved upon its ground breaking camera by upping the sensor to 20.2MP APS-C CMOS. It may not be full frame, but it still makes for compelling images. And it's true that video recording is capped at 12 minutes per clip, but for the price point, you won't find this quality of 1080p camera any cheaper. Plus you can do 60 frames at full 1080p!</t>
  </si>
  <si>
    <t>36186_1_xl.jpg</t>
  </si>
  <si>
    <t>A great introduction to DSLR world, the Rebel, from t3 to t5 is great for teaching the basics. Its 18 MP APS-C CMOS Sensor can still get great 1080p video, and is perfect for taking stills at family events or at an event where 4K video isn't needed.</t>
  </si>
  <si>
    <t>34688_3_xl.jpg</t>
  </si>
  <si>
    <t>SSD shooting became a reality for Canon with the XF300. It's 3 CMOS 1920x1080 sensors combine to forge a formidable image. It became popular with ENG crews and reality tv because of its XLR inputs, hand held capabilities, as well as useful peaking and magnifying focus assist."</t>
  </si>
  <si>
    <t>xf300-professional-camcorder-front-d.jpg</t>
  </si>
  <si>
    <t>Trying to grab beauty shots or have table top work for a commercial? This macro lens from Canon can get them, and with the new 4 stop hybrid image stabilization system, going handheld is now a real possibility.</t>
  </si>
  <si>
    <t>ef100_2.8lmacro_2_xl.jpg</t>
  </si>
  <si>
    <t>A solid offering from Canon, this lens's zoom range makes it a great portrait lens. And for run and gun shoots, having the versatility to go from 24 to 105mm proves very useful for documentary or event videography.</t>
  </si>
  <si>
    <t>ef24-105_4isusm_1_xl.jpg</t>
  </si>
  <si>
    <t>Have no fear, canon has a solid offering to fit your telephoto needs on a budget. With an impressive zoom for its buck, this 55-200mm lens can help you capture wildlife easier than ever, and with its Optical Image Stabilizer, you can even go handheld!</t>
  </si>
  <si>
    <t>33423_1_xl.jpg</t>
  </si>
  <si>
    <t>A fine addition to any kit, this Canon lens gives you a water proof housing on the wider side of the focal length. 3 high-precision aspherical lens elements help improve image quality over the previous model. And the circular aperture makes for quite a nice bokeh when shooting at wider apertures.</t>
  </si>
  <si>
    <t>ef16-35_28iiusm_1_xl.jpg</t>
  </si>
  <si>
    <t>If you want a shot of lion napping on the Sahara, but don't want to be anywhere near it, this lens is for you. It improves upon the previous model by completely redesigning the Image Stabilization system to give up to four extra stops of performance, as well as having a body that's 28% lighter. Perfect for wildlife and sports shooting.</t>
  </si>
  <si>
    <t>20982_1_xl.jpg</t>
  </si>
  <si>
    <t>Canon has excelled at DSLR production, and it's no surprise that their Speedlite flashes prove exceptional in the field. Whether in the studio, or on a beach with dwindling sunlight, this flash will get the job done.</t>
  </si>
  <si>
    <t>Speedlite_430EX_II_Angle3_tcm13-935567.jpg</t>
  </si>
  <si>
    <t>canon_60d-3q-675x450.jpg</t>
  </si>
  <si>
    <t>eos-70d-dslr-camera-dual-pixel-cmos-af-technology-front-d.jpg</t>
  </si>
  <si>
    <t>ef135_2usm_1_xl.jpg</t>
  </si>
  <si>
    <t>efs-18-135mm-f3.5-5.6-is-3q-675x450.jpg</t>
  </si>
  <si>
    <t>Canon_2750B002_EF_24mm_f_1_4L_II_1233280248000_590449.jpg</t>
  </si>
  <si>
    <t>canon30mm.jpg</t>
  </si>
  <si>
    <t>canon_10-24.jpg</t>
  </si>
  <si>
    <t>HJ22_X_.jpg</t>
  </si>
  <si>
    <t>canonj17ex7.jpg</t>
  </si>
  <si>
    <t>canon_J21x7.8.jpg</t>
  </si>
  <si>
    <t>Canon_kh20x6_4_krsd_1_2_Hdgc_Portable_Eng_Efp_1347552452000_886091.jpg</t>
  </si>
  <si>
    <t>canon_0565c013_xc10_1429219970000_1134581.jpg</t>
  </si>
  <si>
    <t>canon_15.5-47mm-t2.8-l-s-3q-675x450.jpg</t>
  </si>
  <si>
    <t>ef-35-14l-usm-d.jpg</t>
  </si>
  <si>
    <t>The EF 50mm f/1.2L USM is a peerless new standard lens featuring an ultra-large aperture for a narrow depth of field and soft background blur so loved by photographers everywhere. The EF 50mm f/1.2L USM is suitable for any shooting situation; its lens coating and construction are optimized to minimize the ghosting and flare that frequently occurs when lenses are used with digital cameras. This high-performance, weather-resistant lens delivers all the superb image resolution and contrast you expect in a Canon L Series Lens.</t>
  </si>
  <si>
    <t>EF_50mm_f1.2L_USM_Default_tcm14-939661.jpg</t>
  </si>
  <si>
    <t>If you are serious about video and film you need to master the Canon C300. The workhorse of the industry, the Canon C300 is modular, customizable, and portable, making it the ideal tool for gorgeous video, TV and small films.</t>
  </si>
  <si>
    <t>c300-111.png</t>
  </si>
  <si>
    <t>ef-300-28l-is-ii-usm-d.jpg</t>
  </si>
  <si>
    <t>Convergent Design</t>
  </si>
  <si>
    <t>Odyssey 7Q</t>
  </si>
  <si>
    <t>Odyssey 7Q+</t>
  </si>
  <si>
    <t>It's not just the remarkable colors and true blacks of this OLED screen that makes it a solid monitor. It also features internal recording via SDi or HDMI to a variety of Apple Pro Res files making post a cinch. So if you're on a tight schedule for post, or just want to make the best use of the 1280x800 screen, the Odyssey 7Q is a solid choice. Via a one time upgrade, it even allows for RAW recording with a variety of cameras.</t>
  </si>
  <si>
    <t>Q-Page-Billboard-01.jpg</t>
  </si>
  <si>
    <t>It's not just the remarkable colors and true blacks of this OLED screen that makes it a solid monitor. It also features internal recording via SDi or HDMI to a variety of Apple Pro Res files making post a cinch. So if you're on a tight schedule for post, or just want to make the best use of the 1280x800 screen, the Odyssey 7Q is a solid choice. Via a one time upgrade, it even allows for RAW recording with a variety of cameras, now over HDMI.</t>
  </si>
  <si>
    <t>convergent_design_cd_odyssey7q_odyssey7q_raw_oled_monitor_1106852.jpg</t>
  </si>
  <si>
    <t>211.jpg</t>
  </si>
  <si>
    <t>It's not just the remarkable colors and true blacks of this OLED screen that makes it a solid monitor. It also features internal recording via SDi or HDMI to a variety of Apple Pro Res files making post a cinch. So if you're on a tight schedule for post, or just want to make the best use of the 1280x800 screen, the Odyssey 7 is a solid choice.</t>
  </si>
  <si>
    <t>Odyssey 7</t>
  </si>
  <si>
    <t>ODYSSEY7front1.jpg</t>
  </si>
  <si>
    <t>1TB Premium SSD for Odyssey 7, 7Q, 7Q+</t>
  </si>
  <si>
    <t>Chimera</t>
  </si>
  <si>
    <t>Quartz Medium Bank (36x48)</t>
  </si>
  <si>
    <t>Pancake Lantern</t>
  </si>
  <si>
    <t>Daylite Plus Lightbank - Medium</t>
  </si>
  <si>
    <t>Video Pro</t>
  </si>
  <si>
    <t>Octa 30" Collapsible Beauty Dish</t>
  </si>
  <si>
    <t>2090AL Aluminium Speed Ring for Broncolor</t>
  </si>
  <si>
    <t>Profoto Speedring</t>
  </si>
  <si>
    <t>Fabric Grid for XS Lightbank 16x22</t>
  </si>
  <si>
    <t>Super Pro X Plus Lightbank</t>
  </si>
  <si>
    <t>Softbox 24x32" with Chimera 9810 Metal Speed Ring</t>
  </si>
  <si>
    <t>Soft Egg Crate - Medium - 40 Degree</t>
  </si>
  <si>
    <t>Standard Lantern</t>
  </si>
  <si>
    <t>Video Pro Plus Small</t>
  </si>
  <si>
    <t>Video Pro Plus Medium</t>
  </si>
  <si>
    <t>Eggcrate 40 Degree Small</t>
  </si>
  <si>
    <t>Daylight Senior Bank Large</t>
  </si>
  <si>
    <t>LED Lightbank for Litepanels</t>
  </si>
  <si>
    <t>Skypanel S60</t>
  </si>
  <si>
    <t>Speed Ring 300</t>
  </si>
  <si>
    <t>Speed Ring 650</t>
  </si>
  <si>
    <t>LED Bank</t>
  </si>
  <si>
    <t>Cooke</t>
  </si>
  <si>
    <t>18-100 T3.1 2'4"</t>
  </si>
  <si>
    <t>25-250 T3.9 5'6"</t>
  </si>
  <si>
    <t>100mm T2.8 mini S4/I Cine Coated Lens</t>
  </si>
  <si>
    <t>75mm T2.8 mini S4/I Cine Coated Lens</t>
  </si>
  <si>
    <t>50mm T2.8 mini S4/I Cine Coated Lens</t>
  </si>
  <si>
    <t>25mm T2.8 mini S4/I Cine Coated Lens</t>
  </si>
  <si>
    <t>18mm T2.8 mini S4/I Cine Coated Lens</t>
  </si>
  <si>
    <t>10.8-60mm T3.1</t>
  </si>
  <si>
    <t>32mm T2.8 mini S4/I Cine Coated Lens</t>
  </si>
  <si>
    <t>40mm T2.8 mini S4/I Cine Coated Lens</t>
  </si>
  <si>
    <t>65mm T2.8 mini S4/I Cine Coated Lens</t>
  </si>
  <si>
    <t>18mm T2.2 S3 Speed Panchro</t>
  </si>
  <si>
    <t>25mm T2.2 S3 Speed Panchro</t>
  </si>
  <si>
    <t>32mm T2.3 S3 Speed Panchro</t>
  </si>
  <si>
    <t>40mm T2.3 S3 Speed Panchro</t>
  </si>
  <si>
    <t>50mm T2.3 S3 Speed Panchro</t>
  </si>
  <si>
    <t>75mm T2.3 S3 Speed Panchro</t>
  </si>
  <si>
    <t>100mm T2.8 S3 Speed Panchro</t>
  </si>
  <si>
    <t>S4 Mini Set of 6 Lenses</t>
  </si>
  <si>
    <t>S4/I Mini Set of 3 Lenses</t>
  </si>
  <si>
    <t>100mm T2 S4/I Prime Lens</t>
  </si>
  <si>
    <t>75mm T2 S4/I Prime Lens</t>
  </si>
  <si>
    <t>50mm T2 S4/I Prime Lens</t>
  </si>
  <si>
    <t>35mm T2 S4/I Prime Lens</t>
  </si>
  <si>
    <t>25mm T2 S4/I Prime Lens</t>
  </si>
  <si>
    <t>18mm T2 S4/I Prime Lens</t>
  </si>
  <si>
    <t>Cradlepoint</t>
  </si>
  <si>
    <t>MBR1400 Wireless Router</t>
  </si>
  <si>
    <t>2371344.jpg</t>
  </si>
  <si>
    <t>canon_17-120.jpg</t>
  </si>
  <si>
    <t>cne-30-105mm-t2.8-l-s-3q-675x450.jpg</t>
  </si>
  <si>
    <t>canon_25-120.jpg</t>
  </si>
  <si>
    <t>canon_11.5-138mm.jpg</t>
  </si>
  <si>
    <t>11-165mm.jpg</t>
  </si>
  <si>
    <t>ef85_18usm_1_xl.jpg</t>
  </si>
  <si>
    <t>canon_45-28-d.jpg</t>
  </si>
  <si>
    <t>canon_8-15-Fisheye-USM-1-xl-d.jpg</t>
  </si>
  <si>
    <t>canon_28-70.jpg</t>
  </si>
  <si>
    <t>canon_70-300-4-5-d.jpg</t>
  </si>
  <si>
    <t>efs17-55_28isusm_1_xl.jpg</t>
  </si>
  <si>
    <t>canon_28-300-35-56-is-usm-d.jpg</t>
  </si>
  <si>
    <t>canon_50mm_2.5.jpg</t>
  </si>
  <si>
    <t>amazon_200mm.jpg</t>
  </si>
  <si>
    <t>It features a 20.2 Megapixel Full-Frame CMOS sensor, a wide ISO range of 100-25600, expandable to L: 50, H1: 51200, and H2: 102400, for incredible image quality even in low light, and a DIGIC 5+ Image Processor delivers enhanced noise reduction and exceptional processing speed.</t>
  </si>
  <si>
    <t>canon_6d.jpg</t>
  </si>
  <si>
    <t>BBLPE6-2.jpg</t>
  </si>
  <si>
    <t>canon22mm.jpg</t>
  </si>
  <si>
    <t>canon_extender.jpg</t>
  </si>
  <si>
    <t>Canon helped usher in the DSLR revolution with the 5D line. In the age of the 4k camera, this one still packs a punch with its stunning full frame sensor. There are endless possibilities to accessorize this compact camera, so it makes a perfect choice when quality 1080 output is needed, and the budget doesn't leave room for 4k.</t>
  </si>
  <si>
    <t>5d.jpg</t>
  </si>
  <si>
    <t>5D</t>
  </si>
  <si>
    <t>canon_8-15-Fisheye-USM-1-xl-d-1.jpg</t>
  </si>
  <si>
    <t>canon_28-70-1.jpg</t>
  </si>
  <si>
    <t>canon_70-300-4-5-d-1.jpg</t>
  </si>
  <si>
    <t>canon_30-300mm-t2.95-3.7-l-sp-d.jpg</t>
  </si>
  <si>
    <t>canon_180-35-macro-usm-d.jpg</t>
  </si>
  <si>
    <t>C500-111.png</t>
  </si>
  <si>
    <t>canon_14mm.jpg</t>
  </si>
  <si>
    <t>canon_100-400.jpg</t>
  </si>
  <si>
    <t>Canon-EF-11-24mm-f-4L-USM-Lens.jpg</t>
  </si>
  <si>
    <t>canon_15mm-f2.8-fisheye-675x450.jpg</t>
  </si>
  <si>
    <t>canon_ef-20-28-usm-d.jpg</t>
  </si>
  <si>
    <t>canon_28-135_35-56isusm_1_xl.jpg</t>
  </si>
  <si>
    <t>canon_28mm.jpg</t>
  </si>
  <si>
    <t>canon_40mm-f2.8-stm-3q-675x450.jpg</t>
  </si>
  <si>
    <t>canon_10-22.jpg</t>
  </si>
  <si>
    <t>canon_15-85mm-f3.5-5.6-is-usm-675x450.png</t>
  </si>
  <si>
    <t>canon_17-85-4-56-is-usm-d.jpg</t>
  </si>
  <si>
    <t>canon_18-55.jpg</t>
  </si>
  <si>
    <t>canon_60-28-macro-usm-d.jpg</t>
  </si>
  <si>
    <t>canon_xa25.jpg</t>
  </si>
  <si>
    <t>canonxl.jpg</t>
  </si>
  <si>
    <t>Canon has brought the best of the EOS-1D Series of digital cameras into one phenomenal model: the flagship of the EOS line, the 1D X DSLR camera. Its full-frame 18.1 Megapixel CMOS sensor and Dual DIGIC 5+ Image Processors help deliver high quality image capture at up to 12 fps (14 fps in Super High Speed Mode) and a powerful ISO range of 100–51200 (up to 204800 in H2 mode) helps provide sharp, low-noise images even in dim low-light conditions. Aka Canon 1DX</t>
  </si>
  <si>
    <t>canon_eos-1d-x-digital-slr-camera-d.jpg</t>
  </si>
  <si>
    <t>canon_eos1dc_lfront_675x450.jpg</t>
  </si>
  <si>
    <t>Canon helped usher in the DSLR revolution with the 5D line, and the Mark II more than exceeded expectations to become the most versatile camera on the market. In the age of the 4k camera, this one still packs a punch with its stunning full frame sensor. There are endless possibilities to accessorize this compact camera, so it makes a perfect choice when quality 1080 output is needed, and the budget doesn't leave room for 4k.</t>
  </si>
  <si>
    <t>5dmarkii_1_xl_(1).jpg</t>
  </si>
  <si>
    <t>canon_50mm_1.3.jpg</t>
  </si>
  <si>
    <t>Screen_Shot_2016-04-26_at_4.14.11_PM.png</t>
  </si>
  <si>
    <t>Canon_5296B002_Speedlite_600EX_1330619741000_847537.jpg</t>
  </si>
  <si>
    <t>Screen_Shot_2016-08-04_at_3.56.32_PM.png</t>
  </si>
  <si>
    <t>11-165-canon-1024x682.jpg</t>
  </si>
  <si>
    <t>sigma_150_600mm_f_5_6_3_dg_os_1082151.jpg</t>
  </si>
  <si>
    <t>Sigma</t>
  </si>
  <si>
    <t>Tilt-Shift L-Series Manual Focus Lens For EOS Cameras Aperture Range: f/3.5-22</t>
  </si>
  <si>
    <t>Canon_3552B002_TS_E_24mm_f_3_5L_II_1266427997000_606804.jpg</t>
  </si>
  <si>
    <t>Canon_5124B002_500mm_f_4L_EF_IS_1297980921000_754507.jpg</t>
  </si>
  <si>
    <t>canon_9521b002_ef_24_105mm_f_3_5_5_6_is_1410874517000_1081813_(1).jpg</t>
  </si>
  <si>
    <t>1dmkivstyle.jpg</t>
  </si>
  <si>
    <t>71uGMGgyTKS._SL1500_.jpg</t>
  </si>
  <si>
    <t>Canon_4587B002_BP_955_Lithium_Ion_Battery_Pack_1456958072000_684203.jpg</t>
  </si>
  <si>
    <t>1283432698000_733533.jpg</t>
  </si>
  <si>
    <t>Canon_6569B001_CN_E_24mm_T1_5_L_1335900298000_844732.jpg</t>
  </si>
  <si>
    <t>cae85ef.jpg</t>
  </si>
  <si>
    <t>canon_9486b002_lp_e6n_battery_f_7d_mark_1410818721000_1081825.jpg</t>
  </si>
  <si>
    <t>36200_1_xl.jpg</t>
  </si>
  <si>
    <t>tokina_tc_116c_cinema_atx_11_16mm_t3_0_1396560066000_1044200.jpg</t>
  </si>
  <si>
    <t>Tokina</t>
  </si>
  <si>
    <t>Canon_4410B002_Extender_EF_2X_III_1282850160000_732111.jpg</t>
  </si>
  <si>
    <t>Canon_4316B001_VIXIA_HF_S20_Dual_1262279892000_671657.jpg</t>
  </si>
  <si>
    <t>Chimera_8435_Quartz_Plus_Softbox_1359575321000_105291.jpg</t>
  </si>
  <si>
    <t>Use this lantern to help illuminate your location with soft and even light. This design by Chimera is 35% more shallow and 15% wider than the standard Lantern, which allows for better distribution of light and makes it easier to hide when hanging it above your camera's frame.</t>
  </si>
  <si>
    <t>chimera_pancake.jpg</t>
  </si>
  <si>
    <t>Chimera_8625_Daylite_Plus_Softbox_1405453597000_124784_(1).jpg</t>
  </si>
  <si>
    <t>chimera_video_pro.jpg</t>
  </si>
  <si>
    <t>chimera_6015_octa_30_beauty_dish_1370876717000_968102.jpg</t>
  </si>
  <si>
    <t>Chimera_2090AL_Speed_Ring_Aluminum_1281559551000_13720.jpg</t>
  </si>
  <si>
    <t>Chimera_2330AL_Speed_Ring_Aluminum_1321374369000_13747.jpg</t>
  </si>
  <si>
    <t>1343073082000_114999.jpg</t>
  </si>
  <si>
    <t>chimera_super_pro_x.jpg</t>
  </si>
  <si>
    <t>Chimera_8125_Video_Pro_Plus_Softbox_1359068027000_105281.jpg</t>
  </si>
  <si>
    <t>chimera_3530ez_soft_fabric_egg_crate_1395672337000_1035526.jpg</t>
  </si>
  <si>
    <t>Use this lantern to help illuminate your location with soft and even light. This design by Chimera includes a black skirt to help sculpt the light, as well act as a gobo head for more control.</t>
  </si>
  <si>
    <t>31Cf87lD94L.jpg</t>
  </si>
  <si>
    <t>Diffuse your hot lights (up to 1000 watts) with this housing from Chimera. 24"x32"</t>
  </si>
  <si>
    <t>Chimera_8125_Video_Pro_Plus_Softbox_1359068027000_105281-1.jpg</t>
  </si>
  <si>
    <t>Diffuse your hot lights (up to 1200 watts) with this housing from Chimera. 36"x28"</t>
  </si>
  <si>
    <t>Chimera_8135_Video_Pro_Plus_Softbox_1359068027000_105283.jpg</t>
  </si>
  <si>
    <t>chimera-daylight-arri-m18.jpg</t>
  </si>
  <si>
    <t>Diffuses light for small 1x LED Litepanels.</t>
  </si>
  <si>
    <t>chimera-1x1-astra.jpg</t>
  </si>
  <si>
    <t>Diffusion house for Skypanel S60.</t>
  </si>
  <si>
    <t>chimera-for-skypanel-s60c.jpg</t>
  </si>
  <si>
    <t>chimera-speed-ring-arri-300-1.jpg</t>
  </si>
  <si>
    <t>For use with 1x1 LED panels</t>
  </si>
  <si>
    <t>intellytech_175012_chimera_1650_softbox_kit_1466090505000_1259304.jpg</t>
  </si>
  <si>
    <t>cooke_18-100mm.jpg</t>
  </si>
  <si>
    <t>cooke_25-250.jpg</t>
  </si>
  <si>
    <t>Cooke-S4i-75-White-400w-400h.jpg</t>
  </si>
  <si>
    <t>Cooke-S4i-50-White-400w-400h.jpg</t>
  </si>
  <si>
    <t>Cooke-S4i-25-White-400w-400h.jpg</t>
  </si>
  <si>
    <t>cooke_18mm.jpg</t>
  </si>
  <si>
    <t>Cooke-S4i-12-White-400w-400h.jpg</t>
  </si>
  <si>
    <t>12mm T2 S4</t>
  </si>
  <si>
    <t>Cooke-S4i-135-White-400w-400h.jpg</t>
  </si>
  <si>
    <t>Cooke-S4i-14-White-400w-400h.jpg</t>
  </si>
  <si>
    <t>Cooke-S4i-16-White-400w-400h.jpg</t>
  </si>
  <si>
    <t>Cooke-S4i-21-White-400w-400h.jpg</t>
  </si>
  <si>
    <t>Cooke-S4i-32-White-400w-400h.jpg</t>
  </si>
  <si>
    <t>Cooke-S4i-27-White-400w-400h.jpg</t>
  </si>
  <si>
    <t>Cooke-S4i-65-White-400w-400h.jpg</t>
  </si>
  <si>
    <t>cooke_ckep_40_40mm_minis4_i_lens_for_1380662978000_1005632.jpg</t>
  </si>
  <si>
    <t>cooke_ckep_65_65mm_minis4_i_lens_for_1380662978000_1005633.jpg</t>
  </si>
  <si>
    <t>135mm T2 S4/I Prime Lens</t>
  </si>
  <si>
    <t>14mm T2 S4/I Prime Lens</t>
  </si>
  <si>
    <t>16mm T2 S4/I Prime Lens</t>
  </si>
  <si>
    <t>21mm T2 S4/I Prime Lens</t>
  </si>
  <si>
    <t>27mm T2 S4/I Prime Lens</t>
  </si>
  <si>
    <t>32mm T2 S4/I Prime Lens</t>
  </si>
  <si>
    <t>40mm T2 S4/I Prime Lens</t>
  </si>
  <si>
    <t>65mm T2 S4/I Prime Lens</t>
  </si>
  <si>
    <t>TLS-Cooke-Speed-Panchro-18mm-Rentals.jpg</t>
  </si>
  <si>
    <t>TLS-Cooke-Speed-Panchro-25mm-Rentals.jpg</t>
  </si>
  <si>
    <t>TLS-Cooke-Speed-Panchro-32mm-Rentals.jpg</t>
  </si>
  <si>
    <t>TLS-Cooke-Speed-Panchro-40mm-Rentals.jpg</t>
  </si>
  <si>
    <t>TLS-Cooke-Speed-Panchro-50mm-Rentals.jpg</t>
  </si>
  <si>
    <t>TLS-Cooke-Speed-Panchro-75mm-Rentals.jpg</t>
  </si>
  <si>
    <t>TLS-Cooke-Speed-Panchro-100mm-Rentals.jpg</t>
  </si>
  <si>
    <t>Cooke-Mini-S4i-3-Lens-Set.jpg</t>
  </si>
  <si>
    <t>Screen_Shot_2017-12-01_at_4.30.17_PM.png</t>
  </si>
  <si>
    <t>Screen_Shot_2017-12-01_at_4.29.31_PM.png</t>
  </si>
  <si>
    <t>Screen_Shot_2017-12-01_at_4.55.31_PM.png</t>
  </si>
  <si>
    <t>Screen_Shot_2017-12-01_at_4.28.08_PM.png</t>
  </si>
  <si>
    <t>Screen_Shot_2017-12-01_at_4.27.35_PM.png</t>
  </si>
  <si>
    <t>Screen_Shot_2017-12-01_at_4.26.29_PM.png</t>
  </si>
  <si>
    <t>cooke-32mm-mini-s4i-prime-t28-pl-mount_v1.large.jpg</t>
  </si>
  <si>
    <t>Cooke-S4i-40-White-400w-400h.jpg</t>
  </si>
  <si>
    <t>cooke_mini_s4i_six_cine_lens_set.png</t>
  </si>
  <si>
    <t>Cooke_CKEP_100_Panchro_100mm_Prime_Lens_664914.jpg</t>
  </si>
  <si>
    <t>D</t>
  </si>
  <si>
    <t>DJI</t>
  </si>
  <si>
    <t>Phantom 3 Professional</t>
  </si>
  <si>
    <t>Ronin-M</t>
  </si>
  <si>
    <t>Spreading Wings S1000</t>
  </si>
  <si>
    <t>Inspire 1 Pro</t>
  </si>
  <si>
    <t>Osmo Handheld 4K Camera and 3-Axis Gimbal</t>
  </si>
  <si>
    <t>Phantom 4</t>
  </si>
  <si>
    <t>Thumb Controller</t>
  </si>
  <si>
    <t>Phantom 2</t>
  </si>
  <si>
    <t>Ronin MX</t>
  </si>
  <si>
    <t>Focus Wireless Follow Focus System</t>
  </si>
  <si>
    <t>Mavic Pro</t>
  </si>
  <si>
    <t>Phantom 3 Advanced</t>
  </si>
  <si>
    <t>Phantom 3 Standard</t>
  </si>
  <si>
    <t>Phantom 1</t>
  </si>
  <si>
    <t>Phantom 4 Pro</t>
  </si>
  <si>
    <t>Phantom 2 Vision +</t>
  </si>
  <si>
    <t>Inspire 2</t>
  </si>
  <si>
    <t>Ronin 2</t>
  </si>
  <si>
    <t>Osmo+ Handheld Gimbal with 4K Zoom Camera</t>
  </si>
  <si>
    <t>Osmo Pro Handheld 3-Axis Gimbal with 4K X5 Camera</t>
  </si>
  <si>
    <t>Osmo Mobile</t>
  </si>
  <si>
    <t>Goggles</t>
  </si>
  <si>
    <t>Spark</t>
  </si>
  <si>
    <t>Matrice 600 Pro</t>
  </si>
  <si>
    <t>Drone videography and photography has been on the rise (pun intended) and DJI has crafted a superior model with the Phantom 3 Professional. Capture shots in beautiful 4K on the camera's 3 axis gimbal at a range of up to 3.1 miles! In addition to the simple, dedicated controller, there is the DGI GO app for your mobile device that allows complete control of the unit and live HD monitoring.</t>
  </si>
  <si>
    <t>phantom-3-pro_2x-f072f5a0e0268a2cd2443b92f5b6f9e7.jpg</t>
  </si>
  <si>
    <t>Shooting professionally stabilized video has never been simpler and the Ronin-M offers a way to get Steadicam quality shots for a fraction of the budget. This rig works for cameras up to 8 pounds, and sports three different modes of arranging the rig for maximum maneuverablility. And for those really tough shots, there's always the option of adding a second operator on the blue tooth controlled remote.</t>
  </si>
  <si>
    <t>large_1.jpg</t>
  </si>
  <si>
    <t>djispreading_wings.png</t>
  </si>
  <si>
    <t>This propellor powered drone can help you find those sweeping aerial shots you need. Comes in a variety of camera types that are controllable using DJI's Go App on your phone or tablet.</t>
  </si>
  <si>
    <t>dji_inspire.jpg</t>
  </si>
  <si>
    <t>dji_cp_zm_000160_osmo_handheld_4k_camera_1444322167000_1188624.jpg</t>
  </si>
  <si>
    <t>Drone videography and photography has been on the rise (pun intended) and DJI has crafted a superior model with the Phantom 4. Capture shots in beautiful 4K on the camera's 3 axis gimbal. In addition to the simple, dedicated controller, there is the DGI GO app for your mobile device that allows complete control of the unit and live HD monitoring.</t>
  </si>
  <si>
    <t>phantom-2-c0f77edefa7396059f65c90b8c9e7647.png</t>
  </si>
  <si>
    <t>dji_ronin_wireless_thumb_controller_1436306919000_1112060.jpg</t>
  </si>
  <si>
    <t>Drone videography and photography has been on the rise (pun intended) and DJI has crafted some of the most widely used drones. Camera and gimbal are not standard on the Phantom 2 but can be added on.</t>
  </si>
  <si>
    <t>Shooting professionally stabilized video has never been simpler and the Ronin offers a way to get Steadicam quality shots for a fraction of the budget. This rig works for cameras up to 10 pounds, and sports three different modes of arranging the rig for maximum maneuverablility. And for those really tough shots, there's always the option of adding a second operator on the blue tooth controlled remote. Can be used with the Matrice 600 aerial.</t>
  </si>
  <si>
    <t>medium_938A7820.jpg</t>
  </si>
  <si>
    <t>DJI has crafted a compact follow focus unit to go hand in hand with their Ronin stabilizers. This features 330' Line-of-Sight Range and fits 15mm and 19mm Rods.</t>
  </si>
  <si>
    <t>1441986413000_IMG_534169.jpg</t>
  </si>
  <si>
    <t>The evolution of drone shooting reaches the next step with this 4K capable offering from DJI. A host of new features are offered, such as satellite tracking, 4.3 mile range, up to 27 min flight time, 5 vision sensors, and a 3 axis gimbal to support the 4K camera (at 24p). Plus, there are new Intelligent Flight Modes that have increased the capabilities this drone has for following people or objects.</t>
  </si>
  <si>
    <t>medium_4058afad-4331-40ab-9a4e-30b49c72447b.jpg</t>
  </si>
  <si>
    <t>Drone videography and photography has been on the rise (pun intended) and DJI has crafted a superior model with the Phantom 3 Advanced. Capture shots in beautiful 2.7K on the camera's 3 axis gimbal at a range of up to 3.1 miles! In addition to the simple, dedicated controller, there is the DGI GO app for your mobile device that allows complete control of the unit and live HD monitoring.</t>
  </si>
  <si>
    <t>phantom-3-adv_2x-bc26aeecabb5d0df49b8c98a7e4fdf60.jpg</t>
  </si>
  <si>
    <t>The Drone that started it all! Camera and gimbal are not standard on the original Phantom but upgrade kits are available to make the drone camera ready.</t>
  </si>
  <si>
    <t>DJI-Phantom-1_04.png</t>
  </si>
  <si>
    <t>Drone videography and photography has been on the rise (pun intended) and DJI has crafted a superior model with the Phantom 4 Pro. Capture shots in beautiful 4K on the camera's 3 axis gimbal. In addition to the simple, dedicated controller, there is the DGI GO app for your mobile device that allows complete control of the unit and live HD monitoring.</t>
  </si>
  <si>
    <t>large_5701b711-4924-449b-a90c-d1b8aded81ce.jpg</t>
  </si>
  <si>
    <t>Drone videography and photography has been on the rise (pun intended) and DJI has crafted some of the most widely used drones. Capture shots in 1080p30 &amp; 720p on the camera's 3 axis gimbal.</t>
  </si>
  <si>
    <t>51MF7WkISzL._SL1200_.jpg</t>
  </si>
  <si>
    <t>The drone can help you find those sweeping aerial shots you need. Compatible with 5.2K gimbal cameras in the DJI family. Also features several Intelligent Flight Modes to help follow objects or people as you shoot.</t>
  </si>
  <si>
    <t>dji_inspire_2_quadcopter_1479242108000_1298562.jpg</t>
  </si>
  <si>
    <t>Shooting professionally stabilized video has never been simpler and the Ronin-M offers a way to get Steadicam quality shots for a fraction of the budget. For DSLRs / Cinema Cameras 30-Pound Payload Capacity Enhanced SmoothTrack Algorithm and GPS Upright, Underslung, and Briefcase Modes Easy Underslung/Upright Transitions 2-Axis Mode for Use with Steadicam Retractable Feet/Self-Supporting Design Camera Control for Select Cameras 2.4 / 5.8 GHz Switchable Remote Up to 0.6-Mile Control Range</t>
  </si>
  <si>
    <t>dji_ronin_2_3_axis_stabilizer_1493060843000_1333927.jpg</t>
  </si>
  <si>
    <t>Screen_Shot_2017-12-11_at_12.26.06_PM.png</t>
  </si>
  <si>
    <t>Screen_Shot_2017-12-11_at_12.37.51_PM.png</t>
  </si>
  <si>
    <t>Screen_Shot_2017-12-11_at_12.57.41_PM.png</t>
  </si>
  <si>
    <t>Screen_Shot_2017-12-11_at_1.04.37_PM.png</t>
  </si>
  <si>
    <t>Screen_Shot_2017-12-11_at_1.09.39_PM.png</t>
  </si>
  <si>
    <t>Screen_Shot_2017-12-11_at_1.12.43_PM.png</t>
  </si>
  <si>
    <t>Dana Dolly</t>
  </si>
  <si>
    <t>Portable Dolly System</t>
  </si>
  <si>
    <t>A dolly designed by gaffers and grips working in the industry? Yes please. With the Dana Dolly they have crafted a system using 16 custom machined track wheels for smooth, silent movement. It supports 100 lbs of weight and can be used on industry standard speed rail. Support it with a variety of stands like the Baby Combo or Junior stand, or even on apple boxes and sand bags. Its versatility is what separates it from the competition!</t>
  </si>
  <si>
    <t>1451337503614-943120241.jpg</t>
  </si>
  <si>
    <t>DLH4</t>
  </si>
  <si>
    <t>For precision lighting, the double lens system of the Dedo can't be beat. The focusing range of this light, and the fact that there is no spill when spotting over large distances, has made it a staple of the industry. Great for or putting a small accent on your background, providing focused back light, or just making something 'pop' in your frame, the Dedo is a very versatile light.</t>
  </si>
  <si>
    <t>CDC.jpg</t>
  </si>
  <si>
    <t>For precision lighting, the double lens system of the Dedo can't be beat. The focusing range of this light, and the fact that there is no spill when spotting over large distances, has made it a staple of the industry. Great for or putting a small accent on your background, providing focused back light, or just making something 'pop' in your frame, the Dedo is a very versatile light. The self contained Dedolight DLHM4–300 works with an integrated electronic power supply combining: • New Dedolight Aspherics² optics • Drastically improved light output • 24 V/150 W integrated electronic power supply • Dimmable</t>
  </si>
  <si>
    <t>DLHM4 300</t>
  </si>
  <si>
    <t>zoom_DLHM4-300.jpg</t>
  </si>
  <si>
    <t>E</t>
  </si>
  <si>
    <t>Dedolight</t>
  </si>
  <si>
    <t>Long Valley Equipment</t>
  </si>
  <si>
    <t>Seven Jib Compact XL</t>
  </si>
  <si>
    <t>Looking for epic, sweeping camera moves? Or maybe just a slow pedestal up? With its 55""" of reach and 60lbs capacity, the Seven Jib Compact XL Jib can make the move you need with the camera you want. And the compact design makes setup time easy (you can have it up and running in no more than 5 minutes).</t>
  </si>
  <si>
    <t>jib_20low.jpg</t>
  </si>
  <si>
    <t>Edelkrone</t>
  </si>
  <si>
    <t>It may appear small, but by using a unique tracing system, the rails of this slider move with the camera as it works. It's quite a feat, and makes this an ideal choice when you don't want to carry an awkwardly long slider case around with you. It can hold up to 13.2 lbs which makes it ideal for smaller cameras and DSLRs when you want to add some movement (and production value) to your shoot.</t>
  </si>
  <si>
    <t>1409169023000_1016669.jpg</t>
  </si>
  <si>
    <t>It may appear small, but by using a unique tracing system, the rails of this slider move with the camera as it works. It's quite a feat, and makes this an ideal choice when you don't want to carry an awkwardly long slider case around with you. It can hold up to 9 lbs which makes it ideal for smaller cameras and DSLRs when you want to add some movement (and production value) to your shoot.</t>
  </si>
  <si>
    <t>sliderplusm-long.png</t>
  </si>
  <si>
    <t>Slider PLUS X Short</t>
  </si>
  <si>
    <t>Slider PLUS</t>
  </si>
  <si>
    <t>Slider PLUS M Long</t>
  </si>
  <si>
    <t>Slider PLUS M Short</t>
  </si>
  <si>
    <t>Slider PLUS X Long</t>
  </si>
  <si>
    <t>Slider PLUS Small (13.2")</t>
  </si>
  <si>
    <t>Sldier PLUS Medium (17.2")</t>
  </si>
  <si>
    <t>Slider PLUS Large (21.1")</t>
  </si>
  <si>
    <t>Slider PLUS Pro Xlarge (25.1")</t>
  </si>
  <si>
    <t>Slider PLUS Pro Medium (17.2")</t>
  </si>
  <si>
    <t>Slider PLUS Pro Large (21.1")</t>
  </si>
  <si>
    <t>Wing 15</t>
  </si>
  <si>
    <t>It may appear small, but by using a unique tracing system, the rails of this slider move with the camera as it works. It's quite a feat, and makes this an ideal choice when you don't want to carry an awkwardly long slider case around with you. It can hold up to 17 lbs which makes it ideal for smaller cameras with mounted accessories and DSLRs when you want to add some movement (and production value) to your shoot.</t>
  </si>
  <si>
    <t>sliderplusm-short.png</t>
  </si>
  <si>
    <t>It may appear small, but by using a unique tracing system, the rails of this slider move with the camera as it works. It's quite a feat, and makes this an ideal choice when you don't want to carry an awkwardly long slider case around with you. It can hold up to 22 lbs which makes it ideal for small cameras with mounted accessories as well as larger cameras when you want to add some movement (and production value) to your shoot.</t>
  </si>
  <si>
    <t>sliderplusx-long.png</t>
  </si>
  <si>
    <t>It may appear small, but by using a unique tracing system, the rails of this slider move with the camera as it works. It's quite a feat, and makes this an ideal choice when you don't want to carry an awkwardly long slider case around with you. It can hold up to 30 lbs which makes it ideal for small cameras with mounted accessories as well as larger cameras when you want to add some movement (and production value) to your shoot.</t>
  </si>
  <si>
    <t>sliderplusx-short.png</t>
  </si>
  <si>
    <t>It may appear small, but by using a unique tracing system, the rails of this slider move with the camera as it works. It's quite a feat, and makes this an ideal choice when you don't want to carry an awkwardly long slider case around with you. It can hold up to 17.6 lbs which makes it ideal for smaller cameras and DSLRs when you want to add some movement (and production value) to your shoot.</t>
  </si>
  <si>
    <t>edelkrone_80590_1_3_sliderplus_v2_1409169023000_1016668_(1).jpg</t>
  </si>
  <si>
    <t>edelkrone_80507_2_sliderplus_v2_1409169023000_1016669.jpg</t>
  </si>
  <si>
    <t>It may appear small, but by using a unique tracing system, the rails of this slider move with the camera as it works. It's quite a feat, and makes this an ideal choice when you don't want to carry an awkwardly long slider case around with you. It can hold up to 8.8 lbs which makes it ideal for smaller cameras and DSLRs when you want to add some movement (and production value) to your shoot.</t>
  </si>
  <si>
    <t>edelkrone_80682_31_5_sliderplus_v2_large_1409169023000_1016670.jpg</t>
  </si>
  <si>
    <t>It may appear small, but by using a unique tracing system, the rails of this slider move with the camera as it works. It's quite a feat, and makes this an ideal choice when you don't want to carry an awkwardly long slider case around with you. It can hold up to 22 lbs which makes it ideal for smaller cameras and DSLRs when you want to add some movement (and production value) to your shoot.</t>
  </si>
  <si>
    <t>edelkrone_80866_slider_plus_pro_x_1394816735000_1038725_(1).jpg</t>
  </si>
  <si>
    <t>It may appear small, but by using a unique tracing system, the rails of this slider move with the camera as it works. It's quite a feat, and makes this an ideal choice when you don't want to carry an awkwardly long slider case around with you. It can hold up to 30 lbs which makes it ideal for smaller cameras and DSLRs when you want to add some movement (and production value) to your shoot.</t>
  </si>
  <si>
    <t>edelkrone_80842_slider_plus_pro_medium_1394816735000_1038722.jpg</t>
  </si>
  <si>
    <t>It may appear small, but by using a unique tracing system, the rails of this slider move with the camera as it works. It's quite a feat, and makes this an ideal choice when you don't want to carry an awkwardly long slider case around with you. It can hold up to 26 lbs which makes it ideal for smaller cameras and DSLRs when you want to add some movement (and production value) to your shoot.</t>
  </si>
  <si>
    <t>edelkrone_90858_slider_plus_pro_large_1394815547000_1038724.jpg</t>
  </si>
  <si>
    <t>A new twist on the slider, this compact beauty gives you 16" of motion and can support up to 15 lbs.</t>
  </si>
  <si>
    <t>1501796382000_1333155.jpg</t>
  </si>
  <si>
    <t>Easyrig</t>
  </si>
  <si>
    <t>Cinema 3 Series</t>
  </si>
  <si>
    <t>Vario 5</t>
  </si>
  <si>
    <t>Mini Strong</t>
  </si>
  <si>
    <t>CineFlex 30</t>
  </si>
  <si>
    <t>300N</t>
  </si>
  <si>
    <t>400N</t>
  </si>
  <si>
    <t>500N</t>
  </si>
  <si>
    <t>600N</t>
  </si>
  <si>
    <t>200N</t>
  </si>
  <si>
    <t>700N</t>
  </si>
  <si>
    <t>If you're a camera operator with chronic neck and shoulder pain, you want to check this one out. The Easyrig redistributes weight from your neck and shoulders so that your hips and legs carry the burden too. Get those smooth, gliding shots you need without having to pay for a Steadicam. Great alternative to the Movi or Ronin</t>
  </si>
  <si>
    <t>03_20_283_29.jpg</t>
  </si>
  <si>
    <t>If you're a camera operator with chronic neck and shoulder pain, you want to check this one out. The Easyrig redistributes weight from your neck and shoulders so that your hips and legs carry the burden too. Get those smooth, gliding shots you need without having to pay for a Steadicam. Great alternative to the Movi or Ronin. 11 to 38 lb Load Capacity</t>
  </si>
  <si>
    <t>vario5imagev2.png</t>
  </si>
  <si>
    <t>If you're a camera operator with chronic neck and shoulder pain, you want to check this one out. The Easyrig redistributes weight from your neck and shoulders so that your hips and legs carry the burden too. Get those smooth, gliding shots you need without having to pay for a Steadicam. Great alternative to the Movi or Ronin. 9 to 13 lbs load capacity</t>
  </si>
  <si>
    <t>easy_rig_miniproducts.png</t>
  </si>
  <si>
    <t>easyrig-cinema-flex-vest-pagepicture2.png</t>
  </si>
  <si>
    <t>The Easy rig 2.5 Series Portable Camera Support System sports a 9" Arm and can support camera payloads of between 26 and 35 lb.</t>
  </si>
  <si>
    <t>Easyrig_ERIG_600_A9_2_5_Series_Portable_Camera_1313074240000_812964.jpg</t>
  </si>
  <si>
    <t>If you're a camera operator with chronic neck and shoulder pain, you want to check this one out. The Easyrig redistributes weight from your neck and shoulders so that your hips and legs carry the burden too. Get those smooth, gliding shots you need without having to pay for a Steadicam. Great alternative to the Movi or Ronin. 11 to 17 lb load capacity</t>
  </si>
  <si>
    <t>1379011634000_981977.jpg</t>
  </si>
  <si>
    <t>1423521395000_1119143.jpg</t>
  </si>
  <si>
    <t>If you're a camera operator with chronic neck and shoulder pain, you want to check this one out. The Easyrig redistributes weight from your neck and shoulders so that your hips and legs carry the burden too. Get those smooth, gliding shots you need without having to pay for a Steadicam. Great alternative to the Movi or Ronin. 24 to 28.5 lb load capacity</t>
  </si>
  <si>
    <t>1423521395000_1119144.jpg</t>
  </si>
  <si>
    <t>If you're a camera operator with chronic neck and shoulder pain, you want to check this one out. The Easyrig redistributes weight from your neck and shoulders so that your hips and legs carry the burden too. Get those smooth, gliding shots you need without having to pay for a Steadicam. Great alternative to the Movi or Ronin. 26 to 33 lb load capacity</t>
  </si>
  <si>
    <t>easyrig_erig_600_3_gr_easyrg_3_600n_gmbl_1423521395000_1119145.jpg</t>
  </si>
  <si>
    <t>If you're a camera operator with chronic neck and shoulder pain, you want to check this one out. The Easyrig redistributes weight from your neck and shoulders so that your hips and legs carry the burden too. Get those smooth, gliding shots you need without having to pay for a Steadicam. Great alternative to the Movi or Ronin. 8 to 13 lb load capacity</t>
  </si>
  <si>
    <t>1269550814000_683367.jpg</t>
  </si>
  <si>
    <t>If you're a camera operator with chronic neck and shoulder pain, you want to check this one out. The Easyrig redistributes weight from your neck and shoulders so that your hips and legs carry the burden too. Get those smooth, gliding shots you need without having to pay for a Steadicam. Great alternative to the Movi or Ronin. 33 to 44 lb load capacity</t>
  </si>
  <si>
    <t>1483386382000_1307363.jpg</t>
  </si>
  <si>
    <t>EZFX</t>
  </si>
  <si>
    <t>Jib</t>
  </si>
  <si>
    <t>EZ-Jib-Square-950-Custom-300x300.jpg</t>
  </si>
  <si>
    <t>Extension Kits</t>
  </si>
  <si>
    <t>Extension-Kit-Square-950-Custom-300x300.jpg</t>
  </si>
  <si>
    <t>Epson</t>
  </si>
  <si>
    <t>Projectors</t>
  </si>
  <si>
    <t>F</t>
  </si>
  <si>
    <t>Freefly</t>
  </si>
  <si>
    <t>Movi M15</t>
  </si>
  <si>
    <t>The Movi has pioneered getting professionally stabilized footage in a lightweight system on a budget. With the M15, you can support a weight of up to 15 pounds, and obtain those Steadicam looking shots for a fraction of the cost, and in a variety of environments. Great for heavier cameras like F55 and Alexa M!</t>
  </si>
  <si>
    <t>M15_ProductShot.png</t>
  </si>
  <si>
    <t>The Movi has pioneered getting professionally stabilized footage in a lightweight system on a budget. With the M10, you can support a weight of up to 12 pounds, and obtain those Steadicam looking shots for a fraction of the cost, and in a variety of environments. Great for everything from the 5D to the C300 or Red Scarlet!</t>
  </si>
  <si>
    <t>Movi M10</t>
  </si>
  <si>
    <t>ProductPage_M10.png</t>
  </si>
  <si>
    <t>The Movi has pioneered getting professionally stabilized footage in a lightweight system on a budget. With the M5, you can support a weight of up to 5 pounds, and obtain those Steadicam looking shot for a fraction of the cost, and in a variety of environments. Great for DSLRs!</t>
  </si>
  <si>
    <t>Movi M5</t>
  </si>
  <si>
    <t>product-m5.png</t>
  </si>
  <si>
    <t>Movi Controller</t>
  </si>
  <si>
    <t>Make your handheld Movi into a two man team with this remote control. It takes some practice to get the hang of it, but once you do, it makes doing tilts, pans, or rolls much easier. Compatible with the M15, M10, and M5.</t>
  </si>
  <si>
    <t>product-controller1.png</t>
  </si>
  <si>
    <t>Movi Pro</t>
  </si>
  <si>
    <t>The Movi has pioneered getting professionally stabilized footage in a lightweight system on a budget. With the Movi Pro, you can support a weight of up to 15 pounds, and obtain those Steadicam looking shots for a fraction of the cost, and in a variety of environments. With the newly designed handlebar, it allows you to grip the Movi from anywhere, allowing for a new combination of shots with minimal stretching on the operator's part. Great for heavier cameras like F55 and Alexa M!</t>
  </si>
  <si>
    <t>freefly_950_00067_m_333_vi_pro_handheld_bundle_1478091011000_1293839.jpg</t>
  </si>
  <si>
    <t>Alta 6</t>
  </si>
  <si>
    <t>ALTA 6 from Freefly is a hexa-rotor drone for aerial imaging that – when used in conjunction with a separately available MoVI gimbal – supports mounting the camera either below or above the airframe. Fold Up Design with Collapsible Props Toad in the Hole Mount for MoVI Gimbals Gimbal Top-Mounting Supported Up to 15 lb Payload Capacity Synapse Intelligent Flight Controller Advanced Vibration Isolation System Weather-Resistant Distribution Board Silent Drive Motors User-Definable LEDs Hard Transit Case Included</t>
  </si>
  <si>
    <t>TSfreefly.jpg</t>
  </si>
  <si>
    <t>Tero</t>
  </si>
  <si>
    <t>RC Vehicle for MoVI M5, M10, and M15 Capture Dynamic Low-Angle Perspectives Brushless Electric Motor Vibration Isolation System Aluminum Cheeseplate</t>
  </si>
  <si>
    <t>1429807897000_IMG_489120.jpg</t>
  </si>
  <si>
    <t>Kino Flo</t>
  </si>
  <si>
    <t>One of most useful lights working today, Kino Flo lights shine even, broad light at whatever your subject might be. Switching its 2 bulbs between Tungsten and Daylight is easy as pie. And between the on board dimmer and the capability to add the diffusion Flozier, you have the capability to truly sculpt this light.</t>
  </si>
  <si>
    <t>Kino_Flo_CFX_2401_2_Single_System_Fluorescent_1232701947000_258372.jpg</t>
  </si>
  <si>
    <t>Single System (4")</t>
  </si>
  <si>
    <t>4' x 2'</t>
  </si>
  <si>
    <t>Ballast and Cable Crate with Lid</t>
  </si>
  <si>
    <t>4ft 4Bank Light Kit</t>
  </si>
  <si>
    <t>2ft 4Bank Light Kit</t>
  </si>
  <si>
    <t>Diva-Lite 415</t>
  </si>
  <si>
    <t>Diva-Lite (200, 201)</t>
  </si>
  <si>
    <t>Diva-Lite (400, 401)</t>
  </si>
  <si>
    <t>Celeb 201 DMX LED Light</t>
  </si>
  <si>
    <t>Celeb 200 DMX LED Light</t>
  </si>
  <si>
    <t>4ft 2Bank Light Kit</t>
  </si>
  <si>
    <t>Tungsten Bulbs</t>
  </si>
  <si>
    <t>Daylight Bulbs</t>
  </si>
  <si>
    <t>Select 30 DMX System</t>
  </si>
  <si>
    <t>Celeb 250 LED DMX</t>
  </si>
  <si>
    <t>Celeb LED 401 DMX</t>
  </si>
  <si>
    <t>Single System (2")</t>
  </si>
  <si>
    <t>Kino_Flo_4x2_.jpg</t>
  </si>
  <si>
    <t>Kino_Flo_KAS_KFC_Ballast_Cable_Crate_1357683018000_258685.jpg</t>
  </si>
  <si>
    <t>One of most useful lights working today, Kino Flo lights shine even, broad light at whatever your subject might be. Switching its 4 bulbs between Tungsten and Daylight is easy as pie. And between the on board dimmer and the capability to add the diffusion Flozier, you have the capability to truly sculpt this light.</t>
  </si>
  <si>
    <t>kino_flo_sys_484_120u_4_4_bank_select_ve_system_120u_1445348129000_1190914.jpg</t>
  </si>
  <si>
    <t>download_(10).jpg</t>
  </si>
  <si>
    <t>One of most useful lights working today, the Diva-Lite shines even, broad light at whatever your subject might be. Its 55 watt bulbs are easily swapped between Tungsten and Daylight, and between the on board dimmer and the capability to add the diffusion Flozier, you have the capability to truly sculpt this light. The Diva-Lite 415 replaces the older models 400 and 401 with newly designed universal electronics to operate on 100VAC to 240VAC.</t>
  </si>
  <si>
    <t>DIV-401-120.gif</t>
  </si>
  <si>
    <t>One of most useful lights working today, the Diva-Lite shines even, broad light at whatever your subject might be. Its 55 watt bulbs are easily swapped between Tungsten and Daylight, and between the on board dimmer and the capability to add the diffusion Flozier, you have the capability to truly sculpt this light. The 200 series allow for 2 bulbs rather that the 4 that can be used in the 400 series resulting in less light but more compact for travel.</t>
  </si>
  <si>
    <t>6.gif</t>
  </si>
  <si>
    <t>One of most useful lights working today, the Diva-Lite shines even, broad light at whatever your subject might be. Its 55 watt bulbs are easily swapped between Tungsten and Daylight, and between the on board dimmer and the capability to add the diffusion Flozier, you have the capability to truly sculpt this light.</t>
  </si>
  <si>
    <t>DIV-401-120_800x533.gif</t>
  </si>
  <si>
    <t>Kino Flo ushers in a new wave of lighting technology with its Celeb series. This light is the equivalent of 1000 watt tungsten bulb and can move from temperatures of 2700-6500K. And using its wireless DMX system, you can wirelessly control the temperature and intensity of the lights. There are even 5 pre-sets on the back that you can program at the push of a button.</t>
  </si>
  <si>
    <t>kino_flo_cel_201c_120u_celeb_201_dmx_led_1438952894000_1170490_(1).jpg</t>
  </si>
  <si>
    <t>Kino Flo's LED lighting technology ushered in a new wave of LED with its Celeb series. This light is the equivalent of 750 watt tungsten bulb and can move from temperatures of 2700-5500K. And using its wireless DMX system, you can wirelessly control the temperature and intensity of the lights. There are even 5 pre-sets on the back that you can program at the push of a button.</t>
  </si>
  <si>
    <t>Kino_Flo_cel_200y_120u_Celeb_200_DMX_LED_1345470623000_884936.jpg</t>
  </si>
  <si>
    <t>1485807716000_258350.jpg</t>
  </si>
  <si>
    <t>Kino_Flo_488_K32_S_6P_4_Kino_800ma_KF32_1438952894000_728794.jpg</t>
  </si>
  <si>
    <t>Replacement bulbs for Kino Flo.</t>
  </si>
  <si>
    <t>Kino_Flo_488_K55_S_6P_4_Kino_800ma_KF55_728827.jpg</t>
  </si>
  <si>
    <t>Kino Flo has set this DMX system to give the bulbs an adjustable color temperature from 2700 to 6500K as well as magenta-green adjustment for fine tuning.</t>
  </si>
  <si>
    <t>kino_flo_sys_s30_120u_select_30_dmx_system_1459431964000_1226555.jpg</t>
  </si>
  <si>
    <t>The all-in-one Tegra 455 DMX features new levels of control with DMX and onboard dimming, DMX and onboard lamp switching, remote hand-held dimming, and Universal input voltage (100VAC to 240VAC).</t>
  </si>
  <si>
    <t>The Celeb LED 401 DMX is one of the largest LED soft panels available in the market today measuring 45” x 14”. Similar in size to the award-winning 4ft 4Bank, the Celeb LED produces a soft, broad, wraparound light quality (CRI 95) and produces color faithfully, beautifully on HD or film, in the studio or on location. The Celeb LED boasts technical innovations: dial-in white light from 2700 to 6500 Kelvin and presets with programmable settings;full range dimming without flicker or color shift. Light levels do not change when selecting Kelvin settings. Kelvin presets and custom settings between 2700-6500K • Universal Input 100VAC-240VAC or 24VDC • Onboard and DMX dimming • DMX Auto Terminate • DMX wireless link (with Lumen Radio) • Flicker-free, quiet operation</t>
  </si>
  <si>
    <t>Celeb-400-DMX--hero.gif</t>
  </si>
  <si>
    <t>The Celeb® 250 LED boasts technical innovations that make it an ideal professional imaging tool. The fixture produces a soft, even wraparound lighting quality and produces color faithfully, beautifully on HD or film, in the studio or on location. The Celeb 250 has three Menu options, one white and two color menus. Those who prefer to work with white light can use the "white menu" that gives the user access to Dimming, Kelvin and Green/Magenta control channels. Kelvin range is from 2700K tungsten to 6500K daylight.</t>
  </si>
  <si>
    <t>KIT-C250U.gif</t>
  </si>
  <si>
    <t>One of most useful lights working today, Kino Flo lights shine even, broad light at whatever your subject might be. Switching its four bulbs between Tungsten and Daylight is easy as pie. And between the on board dimmer and the capability to add the diffusion Flozier, you have the capability to truly sculpt this light.</t>
  </si>
  <si>
    <t>kino_flo_kit_244b_230u_2_4_bank_kit_1494434496000_1327180.jpg</t>
  </si>
  <si>
    <t>Tegra 455 DMX</t>
  </si>
  <si>
    <t>Screen_Shot_2017-10-13_at_11.24.13_AM.png</t>
  </si>
  <si>
    <t>Fujinon</t>
  </si>
  <si>
    <t>HA14x4.5 Wide Angle HD</t>
  </si>
  <si>
    <t>Fujica ZC1000 Single 8mm Camera</t>
  </si>
  <si>
    <t>AH66x9.5 Sports Lens</t>
  </si>
  <si>
    <t>20-120mm T3.5 Cabrio Premier PL Lens</t>
  </si>
  <si>
    <t>19-90mm T2.9 Cabrio  Lens</t>
  </si>
  <si>
    <t>MK18-55 T2.9 Cinema Zoom Lens - Sony E-Mount</t>
  </si>
  <si>
    <t>85-300 T2.9 Cabrio</t>
  </si>
  <si>
    <t>Filmpower</t>
  </si>
  <si>
    <t>Nebula 4000 lite 3 axis brushless handheld gimbal stabiliser</t>
  </si>
  <si>
    <t>Nebula 5100 Slant</t>
  </si>
  <si>
    <t>A new generation motor with built-in encoder for all 3 axes High torque, no need balancing, 8-10 hours battery life Made from high quality Al-Mg-Si alloy Hidden cable design, 360 Degree unlimited rotation</t>
  </si>
  <si>
    <t>2.2 lb Load Capacity Follow and Locked Axes Modes Smartphone Mount Adapter Included Built-In 2000mAh Battery External 4600mAh Battery Pack Bluetooth for Remote Configuration 1/4"-20 and 3/8"-16 Accessory Threads CNC-Machined Aluminum Construction</t>
  </si>
  <si>
    <t>nebula_fpne40002_4000lite_3_axis_brushless_handheld_1425485141000_1124697.jpg</t>
  </si>
  <si>
    <t>31Z2NPgg7iL.jpg</t>
  </si>
  <si>
    <t>Arri Fujinon</t>
  </si>
  <si>
    <t xml:space="preserve">18-80mm T2.6 Alura </t>
  </si>
  <si>
    <t>15.5-45mm T2.8 Alura</t>
  </si>
  <si>
    <t>30-80 T2.8 Alura</t>
  </si>
  <si>
    <t>45-250mm T2.6 Alura</t>
  </si>
  <si>
    <t>1880_51e09274-30a4-49a4-864a-c6292c419e49_1024x1024.jpg</t>
  </si>
  <si>
    <t>155-45mm_1024x1024.png</t>
  </si>
  <si>
    <t>30-80_1024x1024.png</t>
  </si>
  <si>
    <t>45-250mm.jpg</t>
  </si>
  <si>
    <t>HA14x4.5_Wide_Angle_HD.jpg</t>
  </si>
  <si>
    <t>fujica_8mm.jpg</t>
  </si>
  <si>
    <t>kdm2013_502.jpg</t>
  </si>
  <si>
    <t>For ENG style shooting on Super 35mm sensors, it doesn't get much smoother than this lens. Cabable of communicating with Arri LDS and Cooke i Technology and supports macro focusing.</t>
  </si>
  <si>
    <t>pic_01.png</t>
  </si>
  <si>
    <t>Fuji_Cabrio_20-120.png</t>
  </si>
  <si>
    <t>1487738730000_1321239.jpg</t>
  </si>
  <si>
    <t>Fujinon-Cabrio-85-300mm-PL-Lens-Rental-NYC.jpg</t>
  </si>
  <si>
    <t>G</t>
  </si>
  <si>
    <t>*Also in G</t>
  </si>
  <si>
    <t>Blackmagic Design</t>
  </si>
  <si>
    <t>*Also in D</t>
  </si>
  <si>
    <t>*Also in K</t>
  </si>
  <si>
    <t>Go Pro</t>
  </si>
  <si>
    <t>Hero 4 Black</t>
  </si>
  <si>
    <t>Hero 4 Silver</t>
  </si>
  <si>
    <t>Hero 3+</t>
  </si>
  <si>
    <t>Hero 3</t>
  </si>
  <si>
    <t>Smart Remote</t>
  </si>
  <si>
    <t>Batteries and Charger</t>
  </si>
  <si>
    <t>Hero 2</t>
  </si>
  <si>
    <t>Omni</t>
  </si>
  <si>
    <t>Hero 5 Black</t>
  </si>
  <si>
    <t>Battery</t>
  </si>
  <si>
    <t>Chesty (Chest Mount Rig)</t>
  </si>
  <si>
    <t>Headstrap and Quick Clip</t>
  </si>
  <si>
    <t>Hero 6 Black</t>
  </si>
  <si>
    <t>Hero 3 Sessions</t>
  </si>
  <si>
    <t>Hero 4 Sessions</t>
  </si>
  <si>
    <t>Hero 5 Sessions</t>
  </si>
  <si>
    <t>Hero 3+ Silver</t>
  </si>
  <si>
    <t>Gigabyte</t>
  </si>
  <si>
    <t>Glidetrack</t>
  </si>
  <si>
    <t>Gitzo</t>
  </si>
  <si>
    <t>GoPros make those impossible shots a reality. Whether you're mounting it to a snow boarder racing down a Black Diamond trail or just trying for a high angle time lapse, now it's all possible with 4K! And with the mobile app, it's easier to operate than ever over wifi or bluetooth. The processor is 3 times as fast as the Hero 3, and it sports a new Auto Low Light mode."</t>
  </si>
  <si>
    <t>CHDHX-401_main1.jpg</t>
  </si>
  <si>
    <t>GoPros make those impossible shots a reality. Whether you're mounting it to a snow boarder racing down a Black Diamond trail or just trying for a high angle time lapse, now it's all possible with 4K at 15fps! With a built in touchscreen LCD on the back, it makes setting up your shots simpler than ever.</t>
  </si>
  <si>
    <t>CHDHY-401_main2.jpg</t>
  </si>
  <si>
    <t>GoPros make those impossible shots a reality. Whether you're mounting it to a snow boarder racing down a Black Diamond trail or just trying for a high angle time lapse, now it's all possible with 4K!</t>
  </si>
  <si>
    <t>goprohero3plus.jpg</t>
  </si>
  <si>
    <t>51RPkzixQeL_(1).jpg</t>
  </si>
  <si>
    <t>smart_remote.jpg</t>
  </si>
  <si>
    <t>gopro_batteries.png</t>
  </si>
  <si>
    <t>gopro_hd_hero2_douglas_03.jpg</t>
  </si>
  <si>
    <t>gopro-omni.png</t>
  </si>
  <si>
    <t>gopro_chdhx_501_hero5_black_1274419.jpg</t>
  </si>
  <si>
    <t>GoPro-Battery-Hero5.jpg</t>
  </si>
  <si>
    <t>Mount your GoPro to your chest and get crazy action shots snowboarding, or just walking around the town.</t>
  </si>
  <si>
    <t>Screen_Shot_2017-10-04_at_1.54.11_PM.png</t>
  </si>
  <si>
    <t>Now you can wear your GoPro like a hat to get all of your action cam needs</t>
  </si>
  <si>
    <t>HeadStrap_QuickClip_PDP_1.jpg</t>
  </si>
  <si>
    <t>This release from GoPro features welcomed support of 4K at up to 60fps. Supports 4K60, 2.7K120, 1080p240 Video Capture 12MP Photos at 30 fps Ultra-Wide-Angle Glass Lens Waterproof to 33'</t>
  </si>
  <si>
    <t>gopro_chdhx_601_hero6_black_1506617149000_1354531.jpg</t>
  </si>
  <si>
    <t>GoPros make those impossible shots a reality. Whether you're mounting it to a snow boarder racing down a Black Diamond trail or just trying for a high angle time lapse, now it's all possible with MP4 video up to 4K/15p, 1080/60p and 720/120p!</t>
  </si>
  <si>
    <t>pdp-image-HERO3Plus-black-cluster3-2.jpg</t>
  </si>
  <si>
    <t>Screen_Shot_2017-12-11_at_3.34.03_PM.png</t>
  </si>
  <si>
    <t>Screen_Shot_2017-12-11_at_5.31.41_PM.png</t>
  </si>
  <si>
    <t>Screen_Shot_2017-12-11_at_5.47.04_PM.png</t>
  </si>
  <si>
    <t>It might be small, but this computer has a lot of firing power. A high-performance Intel Core i5 processor is paired with an Intel Iris Pro graphics 5200 card for unparralled speed when tackling image design, video editing, and gaming.</t>
  </si>
  <si>
    <t>IMG_8678-640x328.jpg</t>
  </si>
  <si>
    <t>SD Hybrid Slider 21"</t>
  </si>
  <si>
    <t>This slider from Glidetrack will add that extra motion (and production value) to all your DSLR shoots. It's easy to set up and adjust, and moments after taking this compact slider out of its case, you can be shooting smooth, easy shots on its 21""" ball bearing led track.</t>
  </si>
  <si>
    <t>GB-BXi5-4570R</t>
  </si>
  <si>
    <t>Slider 5"</t>
  </si>
  <si>
    <t>GT3541XLS Systematic 6x Carbon Fibre Tripod Legs</t>
  </si>
  <si>
    <t>GT3542XLS 6x</t>
  </si>
  <si>
    <t>Systematic 75mm Bowl Head Adapter for Series 5 Tripods</t>
  </si>
  <si>
    <t>Mountaineer GT2542 Series 2 Carbon Fibre Tripod</t>
  </si>
  <si>
    <t>Glidetrack_HD_150_Glidetrack_HD_5_1292967029000_748334.jpg</t>
  </si>
  <si>
    <t>1323446215000_833308.jpg</t>
  </si>
  <si>
    <t>gitzo_GT3541XLS__Carbon_Fiber_Tripod_.jpg</t>
  </si>
  <si>
    <t>Gitzo_GT3542XLS_GT3542XLS_6x_4_SECTION_SYSTEMATIC_1330363319000_846214.jpg</t>
  </si>
  <si>
    <t>Gitzo_gs5321v75_Video_Adapter_75mm_Ser_1355168908000_898108.jpg</t>
  </si>
  <si>
    <t>Load Capacity: 39.7 lb Max Height: 65.7" Min Height: 5.9" Folded Length: 22" Leg Sections: 4 Weight: 3.7 lb Carbon eXact Tubing G-Lock Ultra Twist Lock</t>
  </si>
  <si>
    <t>gitzo_gt2542_gt2532_mountaineer_series_2_1393822736000_1034913.jpg</t>
  </si>
  <si>
    <t>H</t>
  </si>
  <si>
    <t>Hocus Porducts</t>
  </si>
  <si>
    <t>Axis 1</t>
  </si>
  <si>
    <t>HTC</t>
  </si>
  <si>
    <t>Vive</t>
  </si>
  <si>
    <t>Hexo+</t>
  </si>
  <si>
    <t>Autonymous Drone</t>
  </si>
  <si>
    <t>Honda</t>
  </si>
  <si>
    <t>Generator EU 2000i</t>
  </si>
  <si>
    <t>Sync Generator EU 6500IS</t>
  </si>
  <si>
    <t>Hasselblad</t>
  </si>
  <si>
    <t>503CW</t>
  </si>
  <si>
    <t>500CM</t>
  </si>
  <si>
    <t>203FE</t>
  </si>
  <si>
    <t>120mm f/4 II HC Macro Lens</t>
  </si>
  <si>
    <t>Xpan II</t>
  </si>
  <si>
    <t>45mm f/4 Xpan Lens</t>
  </si>
  <si>
    <t>150mm f/4 CF T* Lens (MF)</t>
  </si>
  <si>
    <t>80mm f/2.8 CF T* Lens for Hasselblad 500 Series</t>
  </si>
  <si>
    <t>501CM</t>
  </si>
  <si>
    <t>X1D-50C</t>
  </si>
  <si>
    <t>XH Lens Adapter</t>
  </si>
  <si>
    <t>Medium Format CF Lens</t>
  </si>
  <si>
    <t>Hocus Products has come out with a simplified remote follow-focus that calibrates much easier than a Bartech or Preston without sacrificing quality. A dedicated 2.4ghz data stream communicates between the receiver and transmitter for zero latency, and this unit has a line of sight range of 100 meters. The weight of the motor and reciever is just 1.05 lbs, which makes it perfect for Movi, Ronin, or Steadicam shots.</t>
  </si>
  <si>
    <t>axis1_11.jpg</t>
  </si>
  <si>
    <t>Experience all that VR has to offer with this virtual reality headset controller setup. The HTC Vive allows for room scaled VR interaction where you can walk around in the VR space without being connected via cables to a computer. There are now hundreds of different immersive games and dazzling videos available via the company's Steam VR. This headset requires a computer with enough speed to run its advanced graphics.</t>
  </si>
  <si>
    <t>htcvive.png</t>
  </si>
  <si>
    <t>hexo.png</t>
  </si>
  <si>
    <t>hondaeu6500isweb__17915_1402692028_1280_1280.png</t>
  </si>
  <si>
    <t>2000 Watts power</t>
  </si>
  <si>
    <t>Screen_Shot_2017-11-01_at_10.53.43_AM.png</t>
  </si>
  <si>
    <t>If Medium Format is your game, look no further. The SLR Hasselblad 500 series of film cameras boasts built in leafs, excellent optics, sturdiness, reliability, and compact size.</t>
  </si>
  <si>
    <t>1268775928000_222049.jpg</t>
  </si>
  <si>
    <t>122c4fe7595662e719ceae2683822e17.jpg</t>
  </si>
  <si>
    <t>1467747102000_img_650659.jpg</t>
  </si>
  <si>
    <t>shopping-1.jpg</t>
  </si>
  <si>
    <t>Screen_Shot_2017-01-17_at_3.53.02_PM.png</t>
  </si>
  <si>
    <t>Screen_Shot_2017-04-01_at_4.40.29_PM.png</t>
  </si>
  <si>
    <t>shopping-3.jpg</t>
  </si>
  <si>
    <t>hasselblad-501cm.jpg</t>
  </si>
  <si>
    <t>At less than half the weight of a conventional digital medium format camera, the mirrorless X1D-50c is a game changer in the world of photography. Inspired by their iconic design heritage, the camera is ergonomic and compact, offering a handling experience unlike any other. The X1D combines Scandinavian sensibility with beautiful performance. 50MP 43.8 x 32.9mm CMOS Sensor 16-Bit Color, 14-Stop Dynamic Range Hasselblad Natural Color Solution Full HD 1080p H.264 Video at 25 fps ISO 100-25600, Shooting Up to 2.3 fps Central Shutter: 60 min to 1/2000 sec 2.36MP XGA Electronic Viewfinder 3.0" 920k-Dot Touchscreen LCD Monitor Dual SD Card Slots; XPan &amp; Square Modes Built-In Wi-Fi, USB 3.0 Type C X Mount</t>
  </si>
  <si>
    <t>97ad0130f07ebd09331656f03247a34598d630c3_160525-x1d_front_0040_46_007_grey.jpg</t>
  </si>
  <si>
    <t>Hasselblad H Lens to X-Mount Camera Maintains Electronic Communication Leaf Shutter Support</t>
  </si>
  <si>
    <t>hasselblad_h_3025000_xh_lens_adapter_1490298338000_1261824.jpg</t>
  </si>
  <si>
    <t>CF Mount Lens for Hasselblad 501 Medium Format SLR Film Camera.</t>
  </si>
  <si>
    <t>I</t>
  </si>
  <si>
    <t>Interfit Photographic</t>
  </si>
  <si>
    <t>Stellar X750</t>
  </si>
  <si>
    <t>Indy Dolly</t>
  </si>
  <si>
    <t>Universal</t>
  </si>
  <si>
    <t>Ikan</t>
  </si>
  <si>
    <t>IndiPRO</t>
  </si>
  <si>
    <t>Compact 95Wh V-Mount Battery with Dual Charger</t>
  </si>
  <si>
    <t>Canon power dummy battery</t>
  </si>
  <si>
    <t>Compact 95Wh Battery</t>
  </si>
  <si>
    <t>D-USB Adapter</t>
  </si>
  <si>
    <t>IndiPRO Tools</t>
  </si>
  <si>
    <t>D7w-PG6 7"</t>
  </si>
  <si>
    <t>Set of 3 LED Lights</t>
  </si>
  <si>
    <t>D5 5.6" Monitor</t>
  </si>
  <si>
    <t>VX7i 7" Monitor SDI/HDMI</t>
  </si>
  <si>
    <t>Remote Air 2 Singel Channel Wireless Lens Control System (PD Movie)</t>
  </si>
  <si>
    <t>DH7 7" Full HD HDMI Monitor</t>
  </si>
  <si>
    <t>DH5E Monitor</t>
  </si>
  <si>
    <t>Beholder DS1</t>
  </si>
  <si>
    <t>Beholder EC1</t>
  </si>
  <si>
    <t>Beholder MS1</t>
  </si>
  <si>
    <t>Beholder DS2a</t>
  </si>
  <si>
    <t>Whethere you're a photographer, or videographer, you'll find these varialble source 750 watt lights invaluable on set. Interfit has crafted a quality continous light source at 3200K that fits with a variety of soft boxes to help you shape your image.</t>
  </si>
  <si>
    <t>INT155_-_1-600x600.jpg</t>
  </si>
  <si>
    <t>UniversalDolly.gif</t>
  </si>
  <si>
    <t>iLED312-v2.jpg</t>
  </si>
  <si>
    <t>1425239111000_1124865.jpg</t>
  </si>
  <si>
    <t>Even in today's 4K age, there's still a home for this 7" from ikan. It's 1200x800 screen works great as an onboard monitor for your operator, or a field monitor for producers. It supports peaking, false color, and the DSLR scaling allows you to choose from 4 framing options.</t>
  </si>
  <si>
    <t>ikan_PD_Movie_Air_Pro_Wireless_Follow_Focus_2.jpg</t>
  </si>
  <si>
    <t>Screen_Shot_2017-03-18_at_6.16.23_PM.png</t>
  </si>
  <si>
    <t>This 5" monitor sports a 1920 x 1080 LCD Display. The HDMI I/O supports 4K, HD, and SD. Supports peaking and DSLR scaling.</t>
  </si>
  <si>
    <t>ikan_dh5e_5_signal_support_1467044493000_1261643.jpg</t>
  </si>
  <si>
    <t>Simple to Operate Light Weight Durable Construction Works with DSLR's and Mirrorless Cameras between 1.5 to 3.7lbs Equipped with 3 Axis Gyro Stabilized Brushless Motors to Balance Most Mirrorless Cameras Lithium Battery Powered- Low Maintenance, Eco-Friendly Illuminated ON-OFF Switch/Battery Indicator 3/8"-16 Tripod Mount Socket</t>
  </si>
  <si>
    <t>51y4ZG5dscL._SL1000_.jpg</t>
  </si>
  <si>
    <t>360° Rotation Along All 3 Axes 32-Bit Controller &amp; 12-Bit Encoder Adaptive PID Algorithm Supports Cameras between 2-4.5 lb Three Follow Modes Plus Auto-Inversion Lock Mode &amp; Auto Point-and-Lock Mode Quick Release Baseplate OLED Display 3/8"-16 Tripod Mount Threaded Hole 1/4"-20 Accessory Mount Threaded Hole</t>
  </si>
  <si>
    <t>1509372689000_1278590.jpg</t>
  </si>
  <si>
    <t>Can support cameras up to 1.9lbs (860 grams) Light Weight Durable Construction Works with the A7S, GH4, RX-100, GH4, NX500, BMPCC, and cameras up to 1.9lbs including the lens Equipped with 3 Axis Gyro Stabilized Brushless Motors to Balance Most Mirrorless Cameras Lithium Battery Powered-Low Maintenance and Eco-Friendly</t>
  </si>
  <si>
    <t>414S2XLIOwL.jpg</t>
  </si>
  <si>
    <t>DS2a.jpg</t>
  </si>
  <si>
    <t>indipro_tools_compact_95wh_v_mount_battery_1448819155000_1166059.jpg</t>
  </si>
  <si>
    <t>iprlp25.jpg</t>
  </si>
  <si>
    <t>indipro_tools_compact_95wh_v_mount_battery_1448819155000_1166059-1.jpg</t>
  </si>
  <si>
    <t>indipro_tools_dtusb5_male_d_tap_to_5v_1444938542000_1188613.jpg</t>
  </si>
  <si>
    <t>J</t>
  </si>
  <si>
    <t>*Also in J</t>
  </si>
  <si>
    <t>Digital Juice</t>
  </si>
  <si>
    <t>Shadow Kit</t>
  </si>
  <si>
    <t>Joker Bug</t>
  </si>
  <si>
    <t>200w 5600</t>
  </si>
  <si>
    <t>Gorillapod Medium</t>
  </si>
  <si>
    <t>Mini Tripod</t>
  </si>
  <si>
    <t>Joby</t>
  </si>
  <si>
    <t>21M f4/200mm M42</t>
  </si>
  <si>
    <t>Jupiter</t>
  </si>
  <si>
    <t>1414422319000_1088503.jpg</t>
  </si>
  <si>
    <t>K5600_K0800JB_Joker_Bug_800_Watt_HMI_192705.jpg</t>
  </si>
  <si>
    <t>Joby_GP3_BHEN_Gorillapod_SLR_Zoom_Flexible_Mini_1253217858000_633362.jpg</t>
  </si>
  <si>
    <t>Joby_GP2_B1AM_GorillaPod_Hybrid_Flexible_Mini_Tripod_1317226854000_821610.jpg</t>
  </si>
  <si>
    <t>Russian made lens with M42 mount. Maximum aperture: 1:4 Angle of View: 12° Lens Mount: M42x1 Mount thread for Attachments: M49x0.75 Dimensions, (Diameter x Length): 78x165</t>
  </si>
  <si>
    <t>jupiter21m-200mm-2.jpg</t>
  </si>
  <si>
    <t>K</t>
  </si>
  <si>
    <t>Kessler</t>
  </si>
  <si>
    <t>Philip Bloom Pocket Dolly Traveler</t>
  </si>
  <si>
    <t>Pocket Dolly 3 Traveller</t>
  </si>
  <si>
    <t>Slider</t>
  </si>
  <si>
    <t>Cineslider 3ft</t>
  </si>
  <si>
    <t>Stealth Slider 18"</t>
  </si>
  <si>
    <t>Pocket Jib</t>
  </si>
  <si>
    <t>Stealth Slider Standard 40.5"</t>
  </si>
  <si>
    <t>Pocket Dolly Standard 39.5"</t>
  </si>
  <si>
    <t>Phillip Bloom 24" Pocket Dolly</t>
  </si>
  <si>
    <t>Cineslider 5ft</t>
  </si>
  <si>
    <t>K-Pod</t>
  </si>
  <si>
    <t>Cineslider Traveller</t>
  </si>
  <si>
    <t>Stealth Slider Traveller 28.5"</t>
  </si>
  <si>
    <t>K5600</t>
  </si>
  <si>
    <t>Joker Bug 200w</t>
  </si>
  <si>
    <t>Joker Bug 1600w</t>
  </si>
  <si>
    <t>Joker Bug 400w</t>
  </si>
  <si>
    <t>Kinoptik</t>
  </si>
  <si>
    <t>9.8mm T2.3 Arri Standard Mount</t>
  </si>
  <si>
    <t>Konova</t>
  </si>
  <si>
    <t>DSLR Slider</t>
  </si>
  <si>
    <t>Good-bye time consuming dolly track. For short distances, this slider from Kessler can't be beat. They've combined two of their most popular items by taking the lightweight portable rail &amp; carriage system of the Pocket Dolly and the adjustable drag control of their CineSlider. The result is smooth movement for a camera of up to 15 lbs across this 29.5" slider with 23" of traveling room.</t>
  </si>
  <si>
    <t>01Lust-PhilipBloomDolly-11.jpg</t>
  </si>
  <si>
    <t>Good-bye time consuming dolly track. For short distances, this slider from Kessler can't be beat. They've combined two of their most popular items by taking the lightweight portable rail &amp; carriage system of the Pocket Dolly and the adustable drag control of their CineSlider. The result is smooth movement for a camera of up to 15 lbs across this 27.5""" slider with 19""" of traveling room.</t>
  </si>
  <si>
    <t>wh2a3331_s_1.jpg</t>
  </si>
  <si>
    <t>Good-bye time consuming dolly track. For short distances, this slider from Kessler can't be beat. They've combined two of their most popular items by taking the lightweight portable rail &amp; carriage system of the Pocket Dolly and the adustable drag control of their CineSlider. The result is smooth movement for a camera of up to 15 lbs across this 28.5""" slider with 19""" of traveling room.</t>
  </si>
  <si>
    <t>WH2A0484_s.jpg</t>
  </si>
  <si>
    <t>Kessler-Cineslider-3ft-Rentals.jpg</t>
  </si>
  <si>
    <t>WH2A0488_s.jpg</t>
  </si>
  <si>
    <t>Kessler-Pocket-Jib-Rentals.jpg</t>
  </si>
  <si>
    <t>Good-bye time consuming dolly track. For short distances, this slider from Kessler can't be beat. They've combined two of their most popular items by taking the lightweight portable rail &amp; carriage system of the Pocket Dolly and the adjustable drag control of their CineSlider. The result is smooth movement for a camera of up to 15 lbs across this 40.5" slider with 31" of traveling room.</t>
  </si>
  <si>
    <t>Screen_Shot_2016-10-11_at_5.09.19_PM.png</t>
  </si>
  <si>
    <t>Good-bye time consuming dolly track. For short distances, this slider from Kessler can't be beat. They've combined two of their most popular items by taking the lightweight portable rail &amp; carriage system of the Pocket Dolly and the adjustable drag control of their CineSlider. The result is smooth movement for a camera of up to 15 lbs across this 28.5" slider with 19" of traveling room.</t>
  </si>
  <si>
    <t>Screen_Shot_2016-10-11_at_5.26.37_PM.png</t>
  </si>
  <si>
    <t>Good-bye time consuming dolly track. For short distances, this slider from Kessler can't be beat. They've combined two of their most popular items by taking the lightweight portable rail &amp; carriage system of the Pocket Dolly and the adustable drag control of their CineSlider. The result is smooth movement for a camera of up to 15 lbs across this 39.5" slider with 31" of traveling room.</t>
  </si>
  <si>
    <t>Kessler-Cineslider-5ft-Rentals.jpg</t>
  </si>
  <si>
    <t>Kessler-K-Pod-Tripod.jpg</t>
  </si>
  <si>
    <t>wh2a1782_s.jpg</t>
  </si>
  <si>
    <t>As K 5600 describes it: "The output of the Joker-Bug 200 can be compared to a 750/1000 Watt quartz fixture, but with a power draw of only 3 Amps. It has become a standard for small interiors, interviews, documentaries and car shots. The system will travel and operate in 110 and 240Volt environments as well as 28.8 (2x 14.4 camera batteries) and 30 Volt."</t>
  </si>
  <si>
    <t>joker_bug.jpg</t>
  </si>
  <si>
    <t>As K 5600 describes it: "The Joker 1600 is the newest of the Joker generation of daylight fixtures. At 1600W, the Joker 1600 is comparable to over 6000W of quartz fixture output and produces twice as much, or one full stop more light, as our Joker 800."</t>
  </si>
  <si>
    <t>K_5600_Lighting_k1600jb_Joker_Bug_1600W_Kit_1352239769000_898131.jpg</t>
  </si>
  <si>
    <t>As K 5600 describes it: "The Joker-Bug 400 combines the characteristics of the BUG-LITE 400, a 400 Watt daylight HMI system without optics, with those of the JOKER 400, a PAR 46 fixture using a specular parabolic reflector and a set of 4 lenses. The JOKER-BUG 400 is comparable to a 1500/2000Wquartz fixture but with a power draw of only 5.5 Amps."</t>
  </si>
  <si>
    <t>jokerbug_400.jpg</t>
  </si>
  <si>
    <t>As K 5600 describes it: "When K5600, Inc. introduced this unique wattage to the market in 1999, we expected it to be a welcomed change…But never did we expect it to become our # 1 seller and discontinue our own 1200! A JOKER-BUG 800 owner obviously understands the enormous advantages of this unique fixture."</t>
  </si>
  <si>
    <t>jokerbug_800.jpg</t>
  </si>
  <si>
    <t>ghr.jpg</t>
  </si>
  <si>
    <t>konova_k2_80_k2_slider_for_dslr_1437073518000_1151306.jpg</t>
  </si>
  <si>
    <t>Joker Bug 800w</t>
  </si>
  <si>
    <t>L</t>
  </si>
  <si>
    <t>Lowel</t>
  </si>
  <si>
    <t>Rifa ex 88</t>
  </si>
  <si>
    <t>Rifa ex 55</t>
  </si>
  <si>
    <t>Rifa ex 66</t>
  </si>
  <si>
    <t>Litepanels</t>
  </si>
  <si>
    <t>Astra 1x1 Bi-Color LED</t>
  </si>
  <si>
    <t>1x1 Snapgrid 40 degree</t>
  </si>
  <si>
    <t>1x1 Softbox Astral</t>
  </si>
  <si>
    <t>1x1 Daylight Flood LED</t>
  </si>
  <si>
    <t>1x1 Daylight Spot LED</t>
  </si>
  <si>
    <t>Croma2</t>
  </si>
  <si>
    <t>MicroPro On-Camera LED Light</t>
  </si>
  <si>
    <t>1x1 Bi-Color LED</t>
  </si>
  <si>
    <t>Limelight Mosaic</t>
  </si>
  <si>
    <t>1X1 Daylight Double Kit</t>
  </si>
  <si>
    <t>UCR411 Wireless</t>
  </si>
  <si>
    <t>L Series</t>
  </si>
  <si>
    <t>Reciever</t>
  </si>
  <si>
    <t>Transmitter</t>
  </si>
  <si>
    <t>UCR411A BLK 24 (YL)</t>
  </si>
  <si>
    <t>SMQa SN 502 BLK 24 (YL)</t>
  </si>
  <si>
    <t>UT700 - 700 Series</t>
  </si>
  <si>
    <t>UT200 VM BLK 21 (BROWN)</t>
  </si>
  <si>
    <t>Lectrosonics</t>
  </si>
  <si>
    <t>M</t>
  </si>
  <si>
    <t>rifa88-1.jpg</t>
  </si>
  <si>
    <t>Litepanels continues their domination of the LED world with this incredible advance in 1x1 tech. This light is bi-color, and with the twist of a knob can swing from tungsten to daylight without even changing a bulb! This makes it a versatile addition to any kit order.</t>
  </si>
  <si>
    <t>935-1003-Astra-bicolor-image1.jpg</t>
  </si>
  <si>
    <t>litepanels_900_0028_40_deg_grid_for_astra_1417186211000_1083282.jpg</t>
  </si>
  <si>
    <t>213559.jpg</t>
  </si>
  <si>
    <t>Litepanels began their domination of the LED world with this incredible advance in 1x1 tech. This daylight balanced light is the equivalent of 300 watts of soft, dimable, and easily dispersed light. It works wonders illuminating any variety of subjects at a 50 degree arc.</t>
  </si>
  <si>
    <t>Litepanels began their domination of the LED world with this incredible advance in 1x1 tech. This daylight balanced light is the equivalent of 300 watts of soft, dimable, and easily dispersed light. It works wonders illuminating any variety of subjects at a 30 degree arc."</t>
  </si>
  <si>
    <t>litepanels-croma2-lighting-rentals-nyc.jpg</t>
  </si>
  <si>
    <t>Twice the Output of Litepanel's Micro Lightweight 10.5 oz Head Great for ENG, DV or DSLR Cameras Integrated 100-0% Output Dimmer</t>
  </si>
  <si>
    <t>litepanels_905_2022_micro_pro_led_lite_1360687051000_920055.jpg</t>
  </si>
  <si>
    <t>This light is bi-color, and with the twist of a knob can swing from tungsten to daylight without even changing a bulb! This makes it a versatile addition to any kit order.</t>
  </si>
  <si>
    <t>22_11_20131385129969903-1163_image_1.jpg</t>
  </si>
  <si>
    <t>limelite_vb_1001us_mosaic_daylight_led_panel_1393649325000_1028559.jpg</t>
  </si>
  <si>
    <t>ucr411a.png</t>
  </si>
  <si>
    <t>lectrosonics_zs_lrlmb_c1_lr_receiver_belt_pack_lmbtransmittermitter_accessory_kit_1450800314000_1102616.jpg</t>
  </si>
  <si>
    <t>1232704273000_261198.jpg</t>
  </si>
  <si>
    <t>s-l500.jpg</t>
  </si>
  <si>
    <t>Lectrosonics_UCR411A_26_UCR411A_Wireless_Receiver_1232817553000_332377.jpg</t>
  </si>
  <si>
    <t>Lectrosonics_UM450_24_UM450_UHF_Beltpack_1233115793000_502212.jpg</t>
  </si>
  <si>
    <t>Lectrosonics_UT700VM_24_UT700_700_Series_1242233159000_619887.jpg</t>
  </si>
  <si>
    <t>Lectrosonics_UT700VM_24_UT700_700_Series_1242233159000_619887-1.jpg</t>
  </si>
  <si>
    <t>Manfrotto</t>
  </si>
  <si>
    <t>501HDV Head and Tripod</t>
  </si>
  <si>
    <t>685B</t>
  </si>
  <si>
    <t>Bogen 3861 Light Stand</t>
  </si>
  <si>
    <t>502HD Pro Video Head and Tripod</t>
  </si>
  <si>
    <t>Pro Fluid Head</t>
  </si>
  <si>
    <t>190XB Tripod with Ball Head</t>
  </si>
  <si>
    <t>Hi-Hat</t>
  </si>
  <si>
    <t>Bogen 367B Light Stand</t>
  </si>
  <si>
    <t>701 Head</t>
  </si>
  <si>
    <t>503HDV Pro Video Head and Tripod</t>
  </si>
  <si>
    <t>504HD Fluid Video Head and Tripod</t>
  </si>
  <si>
    <t>Monopod</t>
  </si>
  <si>
    <t>510 Tripod</t>
  </si>
  <si>
    <t>560B-1</t>
  </si>
  <si>
    <t>30012D Tripod + 3025 Photo Head</t>
  </si>
  <si>
    <t>577 Rapid Connect Adapter</t>
  </si>
  <si>
    <t>561B</t>
  </si>
  <si>
    <t>Matthews</t>
  </si>
  <si>
    <t>Doorway Dolly</t>
  </si>
  <si>
    <t>6'x 6' Solid Scrim</t>
  </si>
  <si>
    <t>6'x 6' Muslin Unbleached</t>
  </si>
  <si>
    <t>6'x 6' Muslin Bleached</t>
  </si>
  <si>
    <t>6'x 6' Snap A Part Light Duty Frame</t>
  </si>
  <si>
    <t>30"x 36" Flag</t>
  </si>
  <si>
    <t>24"x 36" Flag</t>
  </si>
  <si>
    <t>18"x 24" Flag</t>
  </si>
  <si>
    <t>Roadrags Kit</t>
  </si>
  <si>
    <t>Beefy Baby Stand</t>
  </si>
  <si>
    <t>Mid Boy Rollers with Triple Risers</t>
  </si>
  <si>
    <t>Hi-Hi Overhead Rollers</t>
  </si>
  <si>
    <t>Dana Dolly Stand</t>
  </si>
  <si>
    <t>Big Ben Clamp</t>
  </si>
  <si>
    <t>3" Baby Plate</t>
  </si>
  <si>
    <t>Baby Plate with Junior Pin</t>
  </si>
  <si>
    <t>Cardellini Clamp Center Jaw</t>
  </si>
  <si>
    <t>Pipe Clamp</t>
  </si>
  <si>
    <t>C Clamp</t>
  </si>
  <si>
    <t>Sound Blanket</t>
  </si>
  <si>
    <t>Mombo Combo Stand</t>
  </si>
  <si>
    <t>Combo Stand</t>
  </si>
  <si>
    <t>Cardellini Clamp End Jaw</t>
  </si>
  <si>
    <t>8'x 8' Silk</t>
  </si>
  <si>
    <t>8'x 8' Black Solid</t>
  </si>
  <si>
    <t>Motorola</t>
  </si>
  <si>
    <t>CP200d Walkie Talkie</t>
  </si>
  <si>
    <t>64 XL Super 8</t>
  </si>
  <si>
    <t>50mm f/1.7 Lens</t>
  </si>
  <si>
    <t>Minolta</t>
  </si>
  <si>
    <t>Metabones</t>
  </si>
  <si>
    <t>Canon EF/EF-S to Sony E Mount T Smart Adapter</t>
  </si>
  <si>
    <t>EF Adapter</t>
  </si>
  <si>
    <t>Canon FD to Fujifilm X- Mount</t>
  </si>
  <si>
    <t>Canon Full Frame EF to Micro 4/3 Mount T Speed Booster Ultra 0.71x</t>
  </si>
  <si>
    <t>Canon EF to Micro 4/3 Speed Booster "S"</t>
  </si>
  <si>
    <t>N</t>
  </si>
  <si>
    <t>*Also in N and V</t>
  </si>
  <si>
    <t>Finding a decent fixed spring head for light weight cameras can be tough, but Manfrotto's crafted a great option for cameras up to 13.2 lbs with this one. The 501HDV Pro Video Head features improved drag in both axes and switchable counterbalance and it has a sliding camera plate for simple balancing.</t>
  </si>
  <si>
    <t>203-listing.jpg</t>
  </si>
  <si>
    <t>Manfrotto makes it easy with this one, all you have to do is pull the leg down and it locks in place. It's integrated 1/4'' - 3/8'' attachment allows for use with multiple types of heads. And with a weight of up to 17.6 lbs, this one isn't just for DSLRs.</t>
  </si>
  <si>
    <t>uuid-1800px-inriverimage_368986.jpg</t>
  </si>
  <si>
    <t>41h1DKCHR0L.jpg</t>
  </si>
  <si>
    <t>Finding a decent fixed spring head for light weight cameras can be tough, but Manfrotto's crafted a great option for cameras up to 15.4 lbs with this one. The 502HDV Pro Video Head features bridging technology that ensures the pan friction control is intuitive and easy to set, but also protected against knocks. Individual pan and tilt locks are also featured.</t>
  </si>
  <si>
    <t>manfrotto_mvh502a_546gb_1_pro_fluid_video_system_aluminum_1379515713000_1005863.jpg</t>
  </si>
  <si>
    <t>Manfrotto_MVH502A_75Mm_Half_Ball_Head_1365458838000_827209.jpg</t>
  </si>
  <si>
    <t>Manfrotto_190XPROB_Tripod_Kit_Black_1268689596000_560847.jpg</t>
  </si>
  <si>
    <t>Manfrotto_529B_529_Hi_Hat_with_1232880209000_366660_(1).jpg</t>
  </si>
  <si>
    <t>product_detailed_image_29837_262.jpg</t>
  </si>
  <si>
    <t>09f5fd-c6b0d6-1.jpg</t>
  </si>
  <si>
    <t>Finding a decent fixed spring head for light weight cameras can be tough, but Manfrotto's crafted a great option for cameras up to 17.6 lbs with this one. The 503 Series features separate pan and tilt locks as well as increased stability on movements.</t>
  </si>
  <si>
    <t>manfrotto_head_503hdv_big.jpg</t>
  </si>
  <si>
    <t>Manfrotto redesigned their 500 series with this 504 fluid head that features a 75mm half ball system which combines with the bridging technology to make for their smoothest panning and tilting yet. Supports up to 16.5 lbs.</t>
  </si>
  <si>
    <t>1271790112000_683559.jpg</t>
  </si>
  <si>
    <t>Tripods aren't always practical. If you need to stabilize your DSLR or small video camera but plan on being on the move during your shoot, then Manfrotto offers a variety of monopods to make your life easier.</t>
  </si>
  <si>
    <t>manfrotto_mvm500a_pro_fluid_monopod_with_1365455235000_945109.jpg</t>
  </si>
  <si>
    <t>main-510-10-5.jpg</t>
  </si>
  <si>
    <t>Load Capacity: 4.4 lb Max Height: 65.35" Closed Length: 25.8" Weight: 1.98 </t>
  </si>
  <si>
    <t>Manfrotto_560B_1_560B_1_Fluid_Video_Monopod_1415140551000_434422.jpg</t>
  </si>
  <si>
    <t>s-l500_(1).jpg</t>
  </si>
  <si>
    <t>0.8" (20mm) of sliding travel within plate to optimally balance gear One 3/8"-16, one M6, and one 1/4"-20 female bottom mounting threads Plate has a 1/4"-20 mounting screw and a 3/8"-16 bushing, in addition to anti-twist video register pin 2-stage quick-release system</t>
  </si>
  <si>
    <t>1464885402000_241139.jpg</t>
  </si>
  <si>
    <t>Screen_Shot_2017-12-13_at_6.00.27_PM.png</t>
  </si>
  <si>
    <t>Matthews_395100_Doorway_Dolly_1326304506000_135675.jpg</t>
  </si>
  <si>
    <t>Matthews_309083_6x6_Overhead_Fabric_1315507426000_32977.jpg</t>
  </si>
  <si>
    <t>Matthews_309623_6x6_Overhead_Fabric_1452811836000_99315.jpg</t>
  </si>
  <si>
    <t>Matthews_309618_6x6_Overhead_Fabric_1462304152000_99314.jpg</t>
  </si>
  <si>
    <t>Matthews_B309071_Butterfly_Overhead_Snap_A_Part_Light_Duty_1358376856000_32972.jpg</t>
  </si>
  <si>
    <t>Matthews_169001_30x36_Flag_1315340843000_32818.jpg</t>
  </si>
  <si>
    <t>Matthews_169062_24x36_Flag_1315341504000_32828-1.jpg</t>
  </si>
  <si>
    <t>Matthews_169059_18x24_Flag_1315341504000_32827.jpg</t>
  </si>
  <si>
    <t>Matthews_350596_RoadRags_II_Kit_1232717906000_272813.jpg</t>
  </si>
  <si>
    <t>Matthews_387030_Hollywood_Beefy_Baby_Stand_1315934565000_139498.jpg</t>
  </si>
  <si>
    <t>Matthews_H377573_Medium_Overhead_Roller_Stand_1232815202000_33082.jpg</t>
  </si>
  <si>
    <t>Matthews_H377577_Hi_Hi_Overhead_Roller_Stand_1370525851000_33086.jpg</t>
  </si>
  <si>
    <t>matthews_249561_the_slider_stand_1399657062000_1047272.jpg</t>
  </si>
  <si>
    <t>Matthews_429017_Wall_Spreader_For_1320787504000_33156.jpg</t>
  </si>
  <si>
    <t>Wall Spreader for 2"x 6"</t>
  </si>
  <si>
    <t>Matthews_429620_Big_Ben_Clamp_1315322685000_167161.jpg</t>
  </si>
  <si>
    <t>Matthews_429041_Baby_Plate_3_1315322037000_33161.jpg</t>
  </si>
  <si>
    <t>Matthews_429582_Junior_Wall_Plate_1315322037000_33188.jpg</t>
  </si>
  <si>
    <t>2c.jpg</t>
  </si>
  <si>
    <t>Matthews_429618_Baby_Pipe_Clamp_1308165442000_33212.jpg</t>
  </si>
  <si>
    <t>Matthews_429598_C_Clamp_2_1256046417000_33202.jpg</t>
  </si>
  <si>
    <t>Matthews_329040_1_Sound_Blanket_with_Grommets_1463066422000_140104.jpg</t>
  </si>
  <si>
    <t>Matthews_377583_Mombo_Combo_Standard_Stand_1467923228000_99157.jpg</t>
  </si>
  <si>
    <t>combo-stand.jpg</t>
  </si>
  <si>
    <t>2e.jpg</t>
  </si>
  <si>
    <t>1294075923000_99341.jpg</t>
  </si>
  <si>
    <t>1315507426000_99340.jpg</t>
  </si>
  <si>
    <t>Communication is made fast, easy, and reliable with the Motorola CP200 walkie (CP 200).</t>
  </si>
  <si>
    <t>cp_200d_front_500x500px.jpg</t>
  </si>
  <si>
    <t>Minolta_r2_web.jpg</t>
  </si>
  <si>
    <t>__35.jpg</t>
  </si>
  <si>
    <t>metabones_mb_ef_e_bt4_canon_ef_to_e_mount_1436277974000_1158850.jpg</t>
  </si>
  <si>
    <t>metabones_mb_spef_m43_bt4_canon_ef_micro_4_3_t_1438014030000_1158844_(1).jpg</t>
  </si>
  <si>
    <t>metabones_mb_ef_e_bt4_canon_ef_to_e_mount_1158850.jpg</t>
  </si>
  <si>
    <t>1420041934000_1079581.jpg</t>
  </si>
  <si>
    <t>mb_spef-m43-bm2_02s.jpg</t>
  </si>
  <si>
    <t>mb_ef-e-bt6_003s.jpg</t>
  </si>
  <si>
    <t>Canon EF to E Mount CINE Smart Adapter</t>
  </si>
  <si>
    <t>Allows the use of Canon EF Lenses to be mounted on Sony camera bodies with locking ring</t>
  </si>
  <si>
    <t>Nikon</t>
  </si>
  <si>
    <t>D800</t>
  </si>
  <si>
    <t>D750</t>
  </si>
  <si>
    <t>SB-910 AF Speedlight</t>
  </si>
  <si>
    <t>50mm f/1.8G AF-S Lens</t>
  </si>
  <si>
    <t>70-200 f/2.8G IF-ED AF-S Lens</t>
  </si>
  <si>
    <t>D810</t>
  </si>
  <si>
    <t>SB-800 AF Speedlight</t>
  </si>
  <si>
    <t>SB-600 AF Speedlight</t>
  </si>
  <si>
    <t>SC-29 TTL Coiled Remote Cord</t>
  </si>
  <si>
    <t>D7000</t>
  </si>
  <si>
    <t>D3</t>
  </si>
  <si>
    <t>85mm f/2 Lens</t>
  </si>
  <si>
    <t>D700</t>
  </si>
  <si>
    <t>D300</t>
  </si>
  <si>
    <t>SB-900 Speedlight</t>
  </si>
  <si>
    <t>TC-14E II Teleconverter</t>
  </si>
  <si>
    <t>17-35mm f/2.8D IF-ED AF-S NIKKOR Lens</t>
  </si>
  <si>
    <t>14-24mm f/2.8G ED AF-S NIKKOR Lens</t>
  </si>
  <si>
    <t>24-120mm f/4 ED VR AF-S NIKKOR lens</t>
  </si>
  <si>
    <t>24-70 f/2.8G ED AF-S NIKKOR lens</t>
  </si>
  <si>
    <t>24mm f/2.8 lens</t>
  </si>
  <si>
    <t>35mm f/1.8G DX AF-S NIKKOR Lens</t>
  </si>
  <si>
    <t>50mm f/1.4G DX AF-S NIKKOR Lens</t>
  </si>
  <si>
    <t>28mm f/2.8 NIKKOR Lens</t>
  </si>
  <si>
    <t>D850</t>
  </si>
  <si>
    <t>18-55 f/3.5-5.6F AF-S NIKKOR Lens</t>
  </si>
  <si>
    <t>SB-700 AF Speedlight</t>
  </si>
  <si>
    <t>D7100</t>
  </si>
  <si>
    <t>D4S</t>
  </si>
  <si>
    <t>D500</t>
  </si>
  <si>
    <t>35mm f/1.4G AF-S NIKKOR Lens</t>
  </si>
  <si>
    <t>85mm f/1.8G AF-S NIKKOR Lens</t>
  </si>
  <si>
    <t>85mm f/1.4G AF-S NIKKOR Lens</t>
  </si>
  <si>
    <t>105mm f/2.8 IF-ED AF-S VR Micro-NIKKOR Lens</t>
  </si>
  <si>
    <t>105mm f/1.4 ED AF-S NIKKOR Lens</t>
  </si>
  <si>
    <t>200-500mm 5/5.6E ED VR AF-S NIKKOR Lens</t>
  </si>
  <si>
    <t>200-400mm f/4G ED VR II AF-S NIKKOR Lens</t>
  </si>
  <si>
    <t>24mm f/1.4G ED AF-S NIKKOR Lens</t>
  </si>
  <si>
    <t>24mm f/1.8G ED AF-S NIKKOR Lens</t>
  </si>
  <si>
    <t>KeyMission 360</t>
  </si>
  <si>
    <t>D610</t>
  </si>
  <si>
    <t>Double Net</t>
  </si>
  <si>
    <t>18"x 24"</t>
  </si>
  <si>
    <t>6'x 6'</t>
  </si>
  <si>
    <t>Nokia</t>
  </si>
  <si>
    <t>OZO</t>
  </si>
  <si>
    <t>Novoflex</t>
  </si>
  <si>
    <t>NEIGER 19P Ball Head</t>
  </si>
  <si>
    <t>Try out the latest in 360 filming from Nokia. It offers built in 360x360 sound, wireless operation and recording capabilities, as well as live broadcasting. and real-time monitoring. Nokia describes it as: "Expertly created. Intelligently designed. Purpose-built. OZO is the world’s first professional Virtual Reality camera. Capturing 360° spherical video and 360x360 surround sound with unique interactive monitoring, OZO increases both the quality and efficiency of Virtual Reality production. One single video file stores all video and audio data in perfect sync. One output cable. One power and memory cartridge.</t>
  </si>
  <si>
    <t>nokia-ozo-hero-lg.png</t>
  </si>
  <si>
    <t>Novoflex_NEIGER_19_NEIGER_19_Ball_Head_1402602369000_258778.jpg</t>
  </si>
  <si>
    <t>modern-studio-18x24-inch-double-net-scrim-black-5.jpg</t>
  </si>
  <si>
    <t>advantage-6x6-double-net-black-m0606-02-13.jpg</t>
  </si>
  <si>
    <t>Nikon decided to give the Canon 5D series a run for its money with this DSLR entry. And it has a beautiful CMOS FX Format Sensor that gets a resolution of 36.3Mp! It hasn't stormed the industry the way the 5D did, but it still has many uses, especially for still photography where it remains popular.</t>
  </si>
  <si>
    <t>D800_Black_BodyOnly.png</t>
  </si>
  <si>
    <t>This telephoto lens from Nikon operates at a fast 2.8 and has the focal length you need to get that perfect shot from a long distance. And Nikon's advanced Vibration Reduction allows for handheld shooting even at the widest of focal ranges. Perfect for wildlife shooting, sports, or for blurring those backgrounds to make beautiful portrait shots.</t>
  </si>
  <si>
    <t>2185_AF-S-NIKKOR-70-200mm-f-2.8G-ED-VR-II_front.png</t>
  </si>
  <si>
    <t>A versatile lens for all DX sensor cameras, this 17-55mm lens gives you a nice focal range on the wider side. And it remains fast at a 2.8 aperture throughout. There are also 3 extra-low Dispersion (ED) glass elements to help control chromatic aberration.</t>
  </si>
  <si>
    <t>2147_AF-S-DX-Zoom-NIKKOR-17-55mm-f-2.8G-IF-ED_front.png</t>
  </si>
  <si>
    <t>24.3MP FX-Format CMOS Sensor EXPEED 4 Image Processor 3.2" 1,229k-Dot RGBW Tilting LCD Monitor Full HD 1080p Video Recording at 60 fps Multi-CAM 3500FX II 51-Point AF Sensor Native ISO 12800, Extended to ISO 51200 Continuous Shooting Up to 6.5 fps 91k-Pixel RGB Sensor and Group Area AF Built-In Wi-Fi Connectivity Time Lapse Shooting &amp; Exposure Smoothing</t>
  </si>
  <si>
    <t>17-55mm f/2.8 IF-ED NIKKOR Lens</t>
  </si>
  <si>
    <t>nikon_d750_dslr_camera_body_1410504666000_1082599.jpg</t>
  </si>
  <si>
    <t>Engineered for FX and DX-format D-SLRs and COOLPIX P7000 Series cameras, the SB-910 offers unparalleled lighting performance in the field and in the studio. Featuring Nikon's versatile i-TTL (intelligent through-the-lens) metering for on camera or wireless flash control, the SB-910 can operate as a hot shoe mounted Speedlight, remote unit or wireless Commander. And with refined operability including illuminated buttons for use in low light and improved thermal cut out protection, the SB-910 is the perfect partner to your D-SLR.</t>
  </si>
  <si>
    <t>nikon_4809_sb_910_af_speedlight_1322668468000_832699.jpg</t>
  </si>
  <si>
    <t>If you own a Nikon camera and need a portrait lens, this fast 1.8 aperture lens is a great place to start.</t>
  </si>
  <si>
    <t>2137_AF_NIKKOR_50mm_f-1_8D.png</t>
  </si>
  <si>
    <t>Nikon's flagship DSLR now features an incredible 36.3 MP sensor. And for those of you looking to shoot video, the D810 is capable of doing 1080p at up to 60 fps.</t>
  </si>
  <si>
    <t>D810.jpg</t>
  </si>
  <si>
    <t>Powerful, compact and portable i-TTL Speedlight unit optimized for use with Nikon's Creative Lighting System (CLS). Operates a stand-alone Speedlight, wireless Speedlight Commander or wireless remote unit . Control as many as 3 remote groups (A, B and C) with the SB-800's wireless Commander mode without leaving the camera position. Flash Value Lock provides a fixed flash output for more consistent flash output. Flash color information is provided for more accurate flash control. Built-in flash compensation: plus or minus 3EV in 1/3rd step increments. Nikon's most advanced Speedlight with a guide number of 184 feet (at ISO 100 at 105mm zoom-head position).</t>
  </si>
  <si>
    <t>shopping-1-1.jpg</t>
  </si>
  <si>
    <t>Easy-to-view LCD with 6 simple-to-understand backlit buttons FV lock holds flash value, enabling recomposition prior to shooting Accurate i-TTL flash control achieved through flash exposure monitoring control Ready light located beside the LCD on the back panel - highly visible even when used as a remote Auto zoom of 24 to 85mm, extendable to 14mm with built-in wide-flash adapter</t>
  </si>
  <si>
    <t>41YTDS0V33L.jpg</t>
  </si>
  <si>
    <t>4766_SC-29-Off-Camera-AF-TTL-Cord_front.png</t>
  </si>
  <si>
    <t>KEN_6166-460.jpg</t>
  </si>
  <si>
    <t>24-70mm is a useful focal range for a variety of circumstances, from documentary work to portraiture. With a maximum aperture of 2.8, this fast lens works great in low light. And its Nano Crystal coatings help reduce ghosting and flare to a minimum.</t>
  </si>
  <si>
    <t>2164_AF-S-NIKKOR-24-70mm-f-2.8-ED_front.png</t>
  </si>
  <si>
    <t>16.2MP DX-Format CMOS Sensor EXPEED 2 Image Processor 3.0" Rear LCD Display Full HD 1080p Video Recording JPEG+RAW File Format Dual SD/SDHC/SDXC Card Slots RGB 3D Matrix Metering System i-TTL Speedlight Compatibility</t>
  </si>
  <si>
    <t>25468_D7000_front.png</t>
  </si>
  <si>
    <t>Nikon's first full frame DSLR. 12.1-MP FX-format CMOS sensor 9 fps continuous shooting Extreme low-noise ISO to 6400</t>
  </si>
  <si>
    <t>ZPREFRONT.jpg</t>
  </si>
  <si>
    <t>mitakon_mtk85mmbkffx_85mm_for_2_lens_1410810351000_1074302.jpg</t>
  </si>
  <si>
    <t>nikond700_front.jpg</t>
  </si>
  <si>
    <t>25432_D300_front_d_left.png</t>
  </si>
  <si>
    <t>High-quality flash for standalone use or as part of a comprehensive lighting system Commander mode controls up to 3 Speedlight groups or unlimited individual Speedlights 4 wireless channel options; prominent master and remote control switch for wireless operation Auto power zoom coverage ranges from 17 to 200mm (FX format) to 12 to 200mm (DX format) 3 light distribution patterns; measures 3 x 5.7 x 4.7 inches (W x H x D) and weighs 14.6 ounces</t>
  </si>
  <si>
    <t>nksb900af.jpg</t>
  </si>
  <si>
    <t>nikon_2129_tc_14e_ii_1_4x_teleconverter_1232669546000_228165.jpg</t>
  </si>
  <si>
    <t>2193_AFS-NIKKOR-24-120mm-f4GEDVR_front.png</t>
  </si>
  <si>
    <t>This F mounted lens provides a nice range of zoom for shots that require a wider angle. Comes with a fast speed of f/2.8.</t>
  </si>
  <si>
    <t>Nikon_1960_AF_S_Zoom_Nikkor_17_35mm_1277156808000_186250.jpg</t>
  </si>
  <si>
    <t>When you need an ultra wide for your Nikon camera, reach for this 14-24mm lens. It has a constant aperture of 2.8 throughout and special nano crystal coating to reduce ghosting and flare.</t>
  </si>
  <si>
    <t>Nikon_2163_AF_S_Zoom_Nikkor_14_24mm_1276697904000_520635.jpg</t>
  </si>
  <si>
    <t>This 35mm lens is Nikon's equivalent of a 50mm lens from Canon and makes for a wonderful portrait lens. Its 1.8 aperture ensures fast shooting, so bring on the overnights!</t>
  </si>
  <si>
    <t>Nikon_2183_AF_S_Nikkor_35mm_f_1_8G_1482514578000_606792.jpg</t>
  </si>
  <si>
    <t>If you own a Nikon camera and need a portrait lens, this fast 1.4 aperture lens is a great place to start.</t>
  </si>
  <si>
    <t>Nikon_2180_AF_S_Nikkor_50mm_f_1_4G_1276118139000_585343.jpg</t>
  </si>
  <si>
    <t>1277155053000_36925.jpg</t>
  </si>
  <si>
    <t>45.7MP FX-Format BSI CMOS Sensor EXPEED 5 Image Processor 3.2" 2.36m-Dot Tilting Touchscreen LCD 4K UHD Video Recording at 30 fps Multi-CAM 20K 153-Point AF System Native ISO: 64-25600, Extended: 32-102400 7 fps Shooting for 51 Frames with AE/AF 8K Time-Lapse, Negative Digitizer Mode 180k-Pixel RGB Sensor, Focus Shift Mode SnapBridge Bluetooth and Wi-Fi</t>
  </si>
  <si>
    <t>Nikon_D850.png</t>
  </si>
  <si>
    <t>2176_AF-S-DX-Nikkor-18-55mm-f-3.5-5.6G-VR_front.png</t>
  </si>
  <si>
    <t>Compatible with Nikon i-TTL Guide Number: 92' at ISO 100 and 35mm Zoom Range: 24-120mm (12mm with Panel) Tilts from -7° to 90° Rotates Left &amp; Right 180° Commander Mode for Wireless TTL Control Strobe Mode and 3 Illumination Patterns Recycle Time: 2.5-3.5 Seconds Slow, High-Speed, 1st &amp; 2nd Curtain Sync Runs on 4 AA Batteries</t>
  </si>
  <si>
    <t>Nikon_4808_SB_700_Speedlight_Shoe_Mount_1284480046000_734997.jpg</t>
  </si>
  <si>
    <t>24.1 MP DX-Format CMOS Sensor EXPEED 3 Image Processor No Optical Low-Pass Filter 3.2" 1,229k-Dot LCD Monitor Full HD 1080i Video Recording at 60 fps Multi-CAM 3500DX 51-Point AF Sensor Native ISO 6400, Extended to ISO 25600 6 fps Shooting for 100 Shots 2,016-Pixel RGB Sensor Exposure Metering</t>
  </si>
  <si>
    <t>n.jpg</t>
  </si>
  <si>
    <t>16.2MP FX-Format CMOS Sensor EXPEED 4 Image Processor 3.2" 921k-Dot LCD Monitor Full HD 1080p Video Recording at 60 fps Multi-CAM 3500FX 51-Point AF Sensor Native ISO 25600, Extended to ISO 409600 11 fps Shooting for 200 Shots with AE/AF 91k-Pixel RGB Sensor and Group Area AF 14-Bit RAW Files and 12-Bit RAW S Format 1000 Base-T Gigabit Wired LAN Support</t>
  </si>
  <si>
    <t>nikon_d4s_digital_slr_camera_1462473241000_1024081.jpg</t>
  </si>
  <si>
    <t>20.9MP DX-Format CMOS Sensor EXPEED 5 Image Processor 3.2" 2,539k-Dot Tilting Touchscreen LCD 4K UHD Video Recording at 30 fps Multi-CAM 20K 153-Point AF System Native ISO 51200, Extend to ISO 1640000 10 fps Shooting for Up to 200 Frames Built-In Wi-Fi, Bluetooth and NFC In-Camera Time Lapse, Up to 9999 Frames</t>
  </si>
  <si>
    <t>1511067629000_IMG_571590.jpg</t>
  </si>
  <si>
    <t>F Mount Lens / FX Format Aperture Range: f/1.4 to 16 One Aspherical Lens Element Nano-Crystal Coating Silent Wave Motor AF System Manual Focus Override Rear Focusing (RF) System Rounded 9-Blade Circular Diaphragm Minimum Focus Distance: 11.8" Filter Diameter: 67mm</t>
  </si>
  <si>
    <t>Nikon_2198_AF_S_NIKKOR_35mm_f_1_4G_1459262967000_735000.jpg</t>
  </si>
  <si>
    <t>F Mount Lens/FX Format Aperture Range: f/1.8 to f/16 Super Integrated Lens Coating Silent Wave Motor AF System Internal Focus M/A Focus Mode Switch Minimum Focus Distance: 2.6' Filter Diameter: 67mm 7-Blade Circular Diaphragm</t>
  </si>
  <si>
    <t>Nikon_2201_AF_S_NIKKOR_85mm_f_1_8G_1491511600000_838798.jpg</t>
  </si>
  <si>
    <t>F Mount Lens/FX Format Aperture Range: f/1.4 to 16 Nano Crystal &amp; Super Integrated Coating Silent Wave Motor AF System Internal Focus M/A Focus Mode Switch Silent Wave Motor (SWM) Minimum Focus Distance: 3.0' Filter Diameter: 77mm Rounded 9-Blade Diaphragm</t>
  </si>
  <si>
    <t>Nikon_2195_AF_S_NIKKOR_85mm_f_1_4G_1491511600000_729952.jpg</t>
  </si>
  <si>
    <t>F Mount Lens/FX Format Aperture Range: f/2.8 to 32 1:1 Magnification Ratio; Macro Close-Ups One Extra-Low Dispersion Glass Element Nano Crystal &amp; Super Integrated Coating Silent Wave Motor AF System Nikon VR Image Stabilization Internal Focus; Manual Focus Override Minimum Focus Distance: 12" Rounded 9-Blade Diaphragm</t>
  </si>
  <si>
    <t>Nikon_2160_105mm_f_2_8G_ED_IF_AF_S_1276697904000_424744.jpg</t>
  </si>
  <si>
    <t>F-Mount Lens/FX Format Aperture Range: f/1.4 to f/16 Three Extra Low-Dispersion Elements Nano Crystal Coating Silent Wave Motor AF System Internal Focus; Manual Focus Override Electromagnetic Diaphragm Mechanism Protective Fluorine Coating Rounded 9-Blade Diaphragm</t>
  </si>
  <si>
    <t>nikon_af_s_nikkor_105mm_f_1_4e_1469628327000_1269658.jpg</t>
  </si>
  <si>
    <t>F-Mount Lens/FX Format Aperture Range: f/5.6 to f/32 Three Extra-Low Dispersion Elements Super Integrated Coating Silent Wave Motor AF System Vibration Reduction with Sport Mode Internal Focus, Manual Focus Override Electromagnetic Diaphragm Mechanism Detachable, Rotatable Tripod Collar Rounded 9-Blade Diaphragm</t>
  </si>
  <si>
    <t>nikon_af_s_nikkor_200_500mm_f_5_6e_1438671107000_1175034.jpg</t>
  </si>
  <si>
    <t>F Mount Lens/FX Format Aperture Range: f/4 to 32 Four Extra-Low Dispersion Glass Elements Nano Crystal &amp; Super Integrated Coating Silent Wave Motor AF System VR II Vibration Reduction Internal Focus; Manual Focus Override Integrated Rotating Tripod Collar Weather Sealed; Meniscus Front Lens Rounded 9-Blade Diaphragm</t>
  </si>
  <si>
    <t>Nikon_2187_AF_S_NIKKOR_200_400mm_f_4G_1272645049000_688212.jpg</t>
  </si>
  <si>
    <t>F-Mount Lens/FX Format Aperture Range: f/1.8 to f/16 Two ED and Two Aspherical Elements Nano Crystal &amp; Super Integrated Coating Silent Wave Motor AF System Rear Focus System; Manual Focus Override Rounded 7-Blade Diaphragm</t>
  </si>
  <si>
    <t>nikon_af_s_nikkor_24mm_f_1_8g_1438671107000_1175036.jpg</t>
  </si>
  <si>
    <t>F Mount Lens/FX Format Aperture Range: f/1.4 to 16 Two ED and Two Aspherical Elements Nano Crystal Coating Silent Wave Motor AF System Manual Focus Override Rear Focusing System Minimum Focus Distance: 9.8" Filter Diameter: 77mm Rounded 9-Blade Diaphragm</t>
  </si>
  <si>
    <t>Nikon_2184_AF_S_Nikkor_24mm_f_1_4G_1265743934000_675829.jpg</t>
  </si>
  <si>
    <t>Capture and share fully immersive 360° interactive videos and photos Waterproof, shockproof and freezeproof with no additional housing Record 4K Ultra HD videos, 23.9-megapixel photos, time-lapse sequences and more SnapBridge integration for real-time wireless sharing Compact and lightweight with over 10 mounting accessories available</t>
  </si>
  <si>
    <t>26513_KM360_front.png</t>
  </si>
  <si>
    <t>nikon_d610.jpg</t>
  </si>
  <si>
    <t>O</t>
  </si>
  <si>
    <t>Oculus</t>
  </si>
  <si>
    <t>Rift DK 2</t>
  </si>
  <si>
    <t>Rift</t>
  </si>
  <si>
    <t>Odyssey</t>
  </si>
  <si>
    <t>Fog Machine</t>
  </si>
  <si>
    <t>O'Connor</t>
  </si>
  <si>
    <t>Obox</t>
  </si>
  <si>
    <t>1030D Fluid Head</t>
  </si>
  <si>
    <t>Standard Sticks</t>
  </si>
  <si>
    <t>Baby Sticks</t>
  </si>
  <si>
    <t>1030DS</t>
  </si>
  <si>
    <t>Standard Legs</t>
  </si>
  <si>
    <t>2575D Head</t>
  </si>
  <si>
    <t>Low Hat</t>
  </si>
  <si>
    <t>12X-SDI</t>
  </si>
  <si>
    <t>PTZ Optics</t>
  </si>
  <si>
    <t>4i</t>
  </si>
  <si>
    <t>Orah</t>
  </si>
  <si>
    <t>Whether you’re looking to create virtual reality content that’s going to change the way we experience media, or just want to see what everyone’s been talking about, these are the goggles to be using. Immerse yourself in 360 degrees of virtual reality and see what Facebook thought was worth spending $2 Billion on. Setting them up requires a little technical knowhow and a powerful PC, but the results are undeniably mesmerizing and stand to change the face of gaming and filmmaking forever. This is the development kit of the Oculus and functions almost identically to the commercially available one.</t>
  </si>
  <si>
    <t>oculus.jpg</t>
  </si>
  <si>
    <t>Whether you’re looking to create virtual reality content that’s going to change the way we experience media, or just want to see what everyone’s been talking about, these are the goggles to be using. Immerse yourself in 360 degrees of virtual reality and see what Facebook thought was worth spending $2 Billion on. Setting them up requires a little technical knowhow and a powerful PC, but the results are undeniably mesmerizing and stand to change the face of gaming and filmmaking forever. This is the commerciallly available version.</t>
  </si>
  <si>
    <t>oculus-rift-image_1920.0.0.jpg</t>
  </si>
  <si>
    <t>fog_machine.jpg</t>
  </si>
  <si>
    <t>oconnor_c1243_0002_o_box_deluxe_set_1377708094000_925410.jpg</t>
  </si>
  <si>
    <t>oc1030dfh30l.jpg</t>
  </si>
  <si>
    <t>Screen_Shot_2017-05-28_at_12.47.07_PM.png</t>
  </si>
  <si>
    <t>CineHD_MINI_560x460px.png</t>
  </si>
  <si>
    <t>OConnor-1030DS-Tripod-Rentals-NYC.jpg</t>
  </si>
  <si>
    <t>OConnor-Cine-HD-Standard-Legs-Rentals.jpg</t>
  </si>
  <si>
    <t>OConnor-2575D-Mitchell-Head-Rental.jpg</t>
  </si>
  <si>
    <t>Hi-Hat-Mitchell-Base.jpg</t>
  </si>
  <si>
    <t>oconnor-low-hat-mitchell-mount.jpg</t>
  </si>
  <si>
    <t>ptzoptics_pt12x_sdi_gy_g2_gen2_12x_sdi_video_conferencing_1237021.jpg</t>
  </si>
  <si>
    <t>Now you can record 4K resolution 360 video while livestreaming! One cable is all you need to connect the camera to the live stitching box, and via ethernet, it is capable of live streaming while still shooting! The Orah 4i has 4 Fisheye 8-Layer MC Glass each with an aperture of f/2.0.</t>
  </si>
  <si>
    <t>Orah.jpg</t>
  </si>
  <si>
    <t>P</t>
  </si>
  <si>
    <t>*Also in P</t>
  </si>
  <si>
    <t>Polaroid</t>
  </si>
  <si>
    <t>Panasonic</t>
  </si>
  <si>
    <t>Altura Photo</t>
  </si>
  <si>
    <t>Spirit 600</t>
  </si>
  <si>
    <t>Lumix GH5</t>
  </si>
  <si>
    <t>HPX250</t>
  </si>
  <si>
    <t>HVX200</t>
  </si>
  <si>
    <t>Lumix GH1</t>
  </si>
  <si>
    <t>Lumix GH3</t>
  </si>
  <si>
    <t>Lumix GH2</t>
  </si>
  <si>
    <t>AF100</t>
  </si>
  <si>
    <t>Lumix LX7</t>
  </si>
  <si>
    <t>HPX250 Battery</t>
  </si>
  <si>
    <t>AG HPX500 P2</t>
  </si>
  <si>
    <t>AG 188 VHS Camcorder</t>
  </si>
  <si>
    <t>PTDX100UK</t>
  </si>
  <si>
    <t>Anamorphic Adapter 1.33x</t>
  </si>
  <si>
    <t>DVX100</t>
  </si>
  <si>
    <t>Varicam LT</t>
  </si>
  <si>
    <t>Varicam High Speed</t>
  </si>
  <si>
    <t>Panasonic AJ HPX2700 Varicam Camcorder</t>
  </si>
  <si>
    <t>DVX200</t>
  </si>
  <si>
    <t>1700 Series 17" Monitor</t>
  </si>
  <si>
    <t>Varicam 35</t>
  </si>
  <si>
    <t>AU EVA1</t>
  </si>
  <si>
    <t>25mm f/1.4 ASPH Leica DG Summilux Lens</t>
  </si>
  <si>
    <t>12-45mm f/3.5-6.5 Lumix G Vario Lens</t>
  </si>
  <si>
    <t>12-35mm f/2.8 Asph Lumix G X Vario Lens</t>
  </si>
  <si>
    <t>If you miss being able to snap a beautiful shot and watch it develop right in front of your eyes, then these cameras are the ones for you. Great for on set photography, just having fun with your friends, or as a special event like a wedding. *NOTE: does not come with film. You can buy film pack at the Impossible Project https://www.the-impossible-project.com/film/</t>
  </si>
  <si>
    <t>22-listing.jpg</t>
  </si>
  <si>
    <t>Go old-school with the original Polaroid Spirit 600. If you miss being able to snap a beautiful shot and watch it develop right in front of your eyes, then this is the one for you. Great for on set photography, just having fun with your friends, or as a special event like a wedding.</t>
  </si>
  <si>
    <t>spirit600.600.jpg</t>
  </si>
  <si>
    <t>Panasonic burst onto the 4K scene with the GH4, and hasn't disapointed. The ability to shoot 4K in such a compact, mirrorless camera with a 16.05 MP Digital Live MOS Sensor is incredible. A great option if the client is looking for 4K and the Alexa and Red are out of your budget.</t>
  </si>
  <si>
    <t>GH4_front_400.png</t>
  </si>
  <si>
    <t>Panasonic_AG_HPX250_AG_HPX250_P2_HD_Handheld_1410545111000_768924.jpg</t>
  </si>
  <si>
    <t>cnet describes it as: "Superb HD video; a raft of frame-rate choices; supports solid-state P2 media as well as tape; terrific, relatively wide-angle lens."</t>
  </si>
  <si>
    <t>HVX200w16GBP2card6.jpg</t>
  </si>
  <si>
    <t>nm.jpg</t>
  </si>
  <si>
    <t>Panasonic_Lumix_DMC_GH3_Mirrorless_Digital_892456.jpg</t>
  </si>
  <si>
    <t>download-1.jpg</t>
  </si>
  <si>
    <t>Panasonic_AG_AF100_AG_AF100_Micro_Four_Thirds_731509.jpg</t>
  </si>
  <si>
    <t>download_(1).jpg</t>
  </si>
  <si>
    <t>aclk.jpg</t>
  </si>
  <si>
    <t>Panasonic_H_HS12035_Lumix_G_X_Vario_865111.jpg</t>
  </si>
  <si>
    <t>Panasonic_HPX500_P2HDF17_AG_HPX500_2_3_Shoulder_Mounted_1255611905000_489948.jpg</t>
  </si>
  <si>
    <t>_t2ec16fhjhwfg2_ou9v_bsckhsmvgw__60_1.jpg</t>
  </si>
  <si>
    <t>panasonic_pt_dx100uk_10_000_lumen_xga_dlp_1375367275000_992747.jpg</t>
  </si>
  <si>
    <t>31IKTesYMoS._SL500_.jpg</t>
  </si>
  <si>
    <t>shopping-4.jpg</t>
  </si>
  <si>
    <t>The VariCam LT has a compact and lightweight magnesium body and offers same picture quality specifications as the larger VariCam 35 cinema camera. The super 35mm image sensor, which is the same imager as VariCam 35, features wide dynamic range, an expansive color gamut, and high sensitivity for 4K image acquisition. It has dual native ISO settings of 800 and 5000. The native 5000 ISO allows for clean shooting in very low light situations. Its size and design facilitate a wide array of shooting styles including comfortable ergonomic shoulder mounted operation or use on gimbals and drones.</t>
  </si>
  <si>
    <t>Varicam_LT.png</t>
  </si>
  <si>
    <t>VariCam HS helps its users capture action with its 2/3 3MOS and bayonet lens mount, continuous 240fps recording, and also revolutionizes workflow with the addition of dual-codec recording, in-camera color grading, and a modular design.</t>
  </si>
  <si>
    <t>Varicam_HS.png</t>
  </si>
  <si>
    <t>The Panasonic AJ-HPX2700 VariCam Camcorder is a high-end professional camera meant to replicate the warm and natural look and texture of film. Featuring a variable frame rate from 1 to 60 fps, in 720p, this camera enables you to easily under or overcrank your shooting for creative fast and slow motion effects. This camera's native effective resolution is 1280 x 720, but shooting is possible in a range of formats from 1080/60i to 720/25p due to the 3x 2/3" 1MP CCD sensors. A high F10 sensitivity supports low-light photography at 2000 Lux and a minimum illumination of 0.021 Lux. Recording is possible in AVC-Intra 100, AVC-Intra 50, and DVCPRO HD; 4:2:2 full raster sampling is supported in the AC-Intra 100 format.</t>
  </si>
  <si>
    <t>HPX-2700.jpg</t>
  </si>
  <si>
    <t>4K video at up to 60fps? Say hello to the newest in Panasonic's Lumix series. The sensor on this puppy is a magnificent 20.3 MP and using the new 5 axis sensor stabilization your handheld footage will be more smooth, not to mention that the 4K video allows for terrific reframing in post if necessary.</t>
  </si>
  <si>
    <t>panasonic_dmc_gh5_mirrorless_micro_four_1283257.jpg</t>
  </si>
  <si>
    <t>The Panasonic AG-DVX200 4K updates the classic DVX with a new four thirds sensor capable of shooting 4K at up to 24fps. 4K can be recorded to MP4 or MOV and AVCHD is possible for 1920 x 1080 HD video offering a wide variety for post.</t>
  </si>
  <si>
    <t>1431542148000_1142844.jpg</t>
  </si>
  <si>
    <t>This 17" Monitor from Panasonic allows for crisp, accurate color representation on set.</t>
  </si>
  <si>
    <t>Panasonic_BT_LH1710_BT_LH1710W_17_Widescreen_HD_SD_1233496836000_598792.jpg</t>
  </si>
  <si>
    <t>VariCam 35 boasts the highest-quality images of the new VariCam Series. It features a dynamic range with 14+ stops of latitude and a wide color gamut, acquisition functions that support 4K/120fps uncompressed RAW recording with Codex V-RAW Recorder* to bring form to the vision of today's image creators.</t>
  </si>
  <si>
    <t>Varicam35.png</t>
  </si>
  <si>
    <t>The Panasonic AU-EVA1 Compact 5.7K Super 35mm Cinema Camera is a flexible camera system ready for documentary, cinema, and live event production. The 5.7K sensor is used to super-sample internal recordings, resulting in higher resolving images with less noise and artifacting when compared to non-super-sampled recordings. The standard native ISO is 800, which works for most production situations. With the Dual Native ISO, this can be switched to 2500 when working in dim scenarios.</t>
  </si>
  <si>
    <t>EVA-1.jpg</t>
  </si>
  <si>
    <t>Micro Four Thirds System 50mm (35mm Equivalent) Aperture Range: f/1.4 to f/16 One Ultra-High Refractive Index Element</t>
  </si>
  <si>
    <t>Panasonic_H_X025_Leica_DG_Summilux_25_1308671215000_768816.jpg</t>
  </si>
  <si>
    <t>Micro Four Thirds System 28-90mm (35mm Equivalent) Aperture Range: f/3.5 to f/22 One Aspherical Element</t>
  </si>
  <si>
    <t>Panasonic_H_FS014045_Lumix_G_Vario_14_1259769660000_657970.jpg</t>
  </si>
  <si>
    <t>51lE5nc0VqL.jpg</t>
  </si>
  <si>
    <t>Q</t>
  </si>
  <si>
    <t>Quasar Science</t>
  </si>
  <si>
    <t>Q-LED Linear Lamps</t>
  </si>
  <si>
    <t>These low-profile, bi-color tubes are proving useful in a myriad of situations. Tight spaces, cars, in walls/ceilings just out of frame, and at times when you need to stack panels to form an led of any size.</t>
  </si>
  <si>
    <t>quasar-4ft-bi-color-lighting-rentals-nyc.jpg</t>
  </si>
  <si>
    <t>R</t>
  </si>
  <si>
    <t>Red</t>
  </si>
  <si>
    <t>Epic Dragon</t>
  </si>
  <si>
    <t>Scarlet-W</t>
  </si>
  <si>
    <t>Scarlet Dragon</t>
  </si>
  <si>
    <t>Scarlet Mysterium-X</t>
  </si>
  <si>
    <t>One</t>
  </si>
  <si>
    <t>Epic DSMC Canon Mount</t>
  </si>
  <si>
    <t>Epic Touch 7.0" LCD</t>
  </si>
  <si>
    <t>Epic DSMC Side Handle</t>
  </si>
  <si>
    <t>Mini Mag 512GB</t>
  </si>
  <si>
    <t>Mini Mag 240GB</t>
  </si>
  <si>
    <t>Mini Mag Station</t>
  </si>
  <si>
    <t>Mini Mag Side SSD Module</t>
  </si>
  <si>
    <t>Weapon 6K</t>
  </si>
  <si>
    <t>Low Light OLPF</t>
  </si>
  <si>
    <t>DSMC Skin Tone Highlight OLPF</t>
  </si>
  <si>
    <t>DSMC Standard OLPF</t>
  </si>
  <si>
    <t>DSMC/DSMC2 Canon Mount</t>
  </si>
  <si>
    <t>1.8" SSD Mag 240GB</t>
  </si>
  <si>
    <t>DSMC Travel Charger</t>
  </si>
  <si>
    <t>DSMC 1 Side Handle</t>
  </si>
  <si>
    <t>Epic-W Helium 8K S35</t>
  </si>
  <si>
    <t>One MX</t>
  </si>
  <si>
    <t>Epic MX</t>
  </si>
  <si>
    <t>Raven</t>
  </si>
  <si>
    <t>Weapon Monstro 8K VV</t>
  </si>
  <si>
    <t>Rode</t>
  </si>
  <si>
    <t>VideoMic Pro</t>
  </si>
  <si>
    <t>NTG1 Condenser Shotgun Mic</t>
  </si>
  <si>
    <t>NTG2 Condenser Shotgun Mic</t>
  </si>
  <si>
    <t>NTG3 Condenser Shotgun Mic</t>
  </si>
  <si>
    <t>Rodelink Wireless Filmmakers Kit</t>
  </si>
  <si>
    <t>Rode SmartLav</t>
  </si>
  <si>
    <t>35mm T1.5 Cine Lens</t>
  </si>
  <si>
    <t>14mm T3.1 Cine Lens</t>
  </si>
  <si>
    <t>Cine Prime Lens Set for Canon</t>
  </si>
  <si>
    <t>Cine DS Sony E-Mount Set</t>
  </si>
  <si>
    <t>16mm T2.2 Cine Lens</t>
  </si>
  <si>
    <t>Set of 6x Xeen Cine EF Lenses</t>
  </si>
  <si>
    <t>85mm T1.5 Cine Lens</t>
  </si>
  <si>
    <t>8mm f/3.5 Fisheye Lens</t>
  </si>
  <si>
    <t>135mm T2.2 Cine DS Lens</t>
  </si>
  <si>
    <t>50mmT1.5 Cine Lens</t>
  </si>
  <si>
    <t>24mmT1.5 Cine Lens</t>
  </si>
  <si>
    <t>Ricoh</t>
  </si>
  <si>
    <t>Theta S</t>
  </si>
  <si>
    <t>Theta V</t>
  </si>
  <si>
    <t>Hot Shoe to 1/4"-20 Male Post Adapter</t>
  </si>
  <si>
    <t>Revo</t>
  </si>
  <si>
    <t>There's no other way to describe 6K resolution except epic. This aptly named offering from RED is the one that Hollywood heavy hitters like David Fincher and Ridley Scott are using, and with it's impressive 4K output and a dynamic range of over 16 stops, it's easy to see why.</t>
  </si>
  <si>
    <t>red_dragon_rig_474x479.jpg</t>
  </si>
  <si>
    <t>5K is here in the inimitable style of the Red. Featuring the amazing dynamic range of the Dragon Sensor, this new offering features simultaneous Redcode Raw and Apple Pro Res recording to make post even simpler. And in the spirit of compatibility, this camera can use all DSMC2 line accessories.</t>
  </si>
  <si>
    <t>scarlet-w-brain-only.png</t>
  </si>
  <si>
    <t>This camera's 6K sensor (6K!) is a huge step forward in the digital revolution. The equivalent of 19 Megapixels, this camera's Dragon Sensor is capable of over 16 stops of dynamic range. In a word: impressive.</t>
  </si>
  <si>
    <t>scarlet_dragon_gallery_1_978x513.jpg</t>
  </si>
  <si>
    <t>In today's market, 5K and 4K are more than enough, even as 6K sensors arrive. Its 13 Megapixel Mysterium Sensor supports 13.5 stops of dynamic range and an ISO between 320-800.</t>
  </si>
  <si>
    <t>scarlet_978x513_01.jpg</t>
  </si>
  <si>
    <t>REDOne.jpg</t>
  </si>
  <si>
    <t>products_primary_dsmc-canon-aluminum-captive-angled.jpg</t>
  </si>
  <si>
    <t>products_primary_7_TOUCHLCD_CABLE.png</t>
  </si>
  <si>
    <t>products_primary_A007_C018_0919MH.png</t>
  </si>
  <si>
    <t>145921188006.jpg</t>
  </si>
  <si>
    <t>minimag240.png</t>
  </si>
  <si>
    <t>products_primary_MiniMagStationAlone11_(1).png</t>
  </si>
  <si>
    <t>The Weapon is the latest in the RED arsenal and with 6k up to 100 fps it lives up to the hype. Currently able to shoot at 6K, its 6144 × 3160 19.4-megapixel sensor is able to record images in RAW, ProRes, or DNxHR/HD.</t>
  </si>
  <si>
    <t>red_digital_cinema_720_0021_red_mini_mag_side_ssd_1347394.jpg</t>
  </si>
  <si>
    <t>products_primary_weapon-woven-cf-brain-only-standard.png</t>
  </si>
  <si>
    <t>products_primary_OLPF-Low-Light-1.png</t>
  </si>
  <si>
    <t>products_primary_OLPF-Skin-Tone-1.png</t>
  </si>
  <si>
    <t>products_primary_dsmc-standard-olpf-standalone.png</t>
  </si>
  <si>
    <t>RED_DSMC2_CANON_MOUNT_2.jpg</t>
  </si>
  <si>
    <t>products_primary_240gbREDMAGWeb-1.png</t>
  </si>
  <si>
    <t>products_primary_redvolt-travel-charger-w-cord.png</t>
  </si>
  <si>
    <t>products_primary_A007_C018_0919MH-1.png</t>
  </si>
  <si>
    <t>Redstation.jpg</t>
  </si>
  <si>
    <t>At the moment, we can only project at 4K, but don't let that deter you from shooting with this massive sensor. The Red Epic Weapon 8K has a 35.4 Megapixel sensor with 8192 x 4320 effective pixels and 16 and a half stops of dynamic range. And it can handle 8K up to 30 fps. This camera's resolution is the future and allows you to record to REDCODE RAW, Apple ProRes or Avid DNxHR/HD.</t>
  </si>
  <si>
    <t>weapon_8ks35_front_sidekick_full-1.png</t>
  </si>
  <si>
    <t>1.8" SSD Station</t>
  </si>
  <si>
    <t>14MP Mysterium-X Sensor that makes shooting 4K Raw easy.</t>
  </si>
  <si>
    <t>red-MXone1920x1080.jpg</t>
  </si>
  <si>
    <t>EPIC ushers in the next generation of digital cinema, featuring a 5K Mysterium sensor capable of capturing 1 to 120 frames per second at full resolution. From fashion spreads to 3D IMAX features, EPIC has crossbred elite photography with unrivaled cinema capability—all in a camera the size of a DSLR. In challenging lighting conditions, EPIC makes it easy to adapt with its ability to reach up to 18 stops of dynamic range with HDRx. Remarkable technology packed into a 5lb body - with EPIC, less is more.</t>
  </si>
  <si>
    <t>overview_1.png</t>
  </si>
  <si>
    <t>Red's budget offering (at just under 7k) still packs a wallop with the Dragon Sensor. Unlike it's bigger brothers in the Red line, this one sports an EF mount. SENSOR: RED DRAGON 9.9 Megapixel CMOS EFFECTIVE PIXELS: 4608 × 2160 SENSOR SIZE: 23.0 mm x 10.8 mm (Diagonal: 25.5 mm) DYNAMIC RANGE: 16.5+ stops SIGNAL-TO-NOISE-RATIO: 80 dB MAX DATA RATE: Up to 140 MB/s using RED MINI-MAG MAX FRAME RATES: 120 fps at 4.5K Full Frame (4608 × 2160), 120 fps at 4.5K 2.4:1 (4608 × 1944) 120 fps at 4K Full Frame (4096 × 2160), 150 fps at 4K 2.4:1 (4096 × 1728) 150 fps at 3K Full Frame (3072 × 1620), 200 fps at 3K 2.4:1 (3072 × 1296) 240 fps at 2K Full Frame (2048 × 1080), 300 fps at 2K 2.4:1 (2048 × 864) PLAYBACK FRAME RATES: (PROJECT TIMEBASE) 23.98, 24, 25, 29.97, 47.95, 48, 50, 59.94, 60 fps, all resolutions REDCODE SETTINGS: RANGE FROM 2:1 UP TO 22:1 3:1 REDCODE for 4.5K Full Frame (4608 × 2160) at 24 fps 8:1 REDCODE for 4.5K Full Frame (4608 × 2160) at 60 fps 3:1 REDCODE for 4K Full Frame (4096 × 2160) at 24 fps 7:1 REDCODE for 4K Full Frame (4096 × 2160) at 60 fps REDCODE RAW</t>
  </si>
  <si>
    <t>red-raven-brain-only-2.jpg</t>
  </si>
  <si>
    <t>Red has updated the Weapon and it's new Monstro 8K VV sensor does not disappoint. It captures 35.4 Megapixels with 17 stops of dynamic range. Capable of shooting motion and stills in 8K 2.4:1 at up to 75 frames per second (fps), or 8K Full Format at 60 fps—WEAPON 8K VV delivers cinematic image quality with a sensor size of 40.96 mm x 21.60 mm.</t>
  </si>
  <si>
    <t>products_primary_A001_C001_0905O9.0000038F.png</t>
  </si>
  <si>
    <t>This compact, directional, on-camera condenser microphone has proven very useful in the age of DSLR shooting. Easily attached to your camera with a shoe mount, or even a boom with its 3/8""" mount, this directional mic will hear what you point it at. Whether you're looking for a decent scratch track, or you need to fly low profile and only go with an on-board mic, this inexpensive option from Rode can do the job.</t>
  </si>
  <si>
    <t>2.jpg</t>
  </si>
  <si>
    <t>rode_blimp_windsheild_rycote_lyre_suspension_1401396364000_1056426.jpg</t>
  </si>
  <si>
    <t>This boom mic has a super-cardioid polar pattern and line gradient acoustic principle that help minimize off-axis noise and focus on the sound you want.</t>
  </si>
  <si>
    <t>Rode_NTG_2_NTG_2_Battery_or_Phantom_1251754457000_367747.jpg</t>
  </si>
  <si>
    <t>Screen_Shot_2017-02-04_at_4.25.52_PM.png</t>
  </si>
  <si>
    <t>rode_rodlnk_fm_rodelink_wireless_filmmaker_kit_1493401026000_1115091.jpg</t>
  </si>
  <si>
    <t>Clip-On Mic for iPhone and Android Improved Sensitivity &amp; Signal-to-Noise Quality Recording to Your Smartphone Use with Rode Rec App for Apple iOS</t>
  </si>
  <si>
    <t>rode_smartlav_smart_lav_lav_mic_for_1463160026000_1059342.jpg</t>
  </si>
  <si>
    <t>Rokinon has crafted a quality set of cine lenses that don't break the bank with this series. This 35mm prime has hybrid aspherical lenses that make for sharply defined images with a minimum of distortion and chromatic aberrations. And your 1st AC will love the fact that the aperture and focus scales are marked on both sides of the lens.</t>
  </si>
  <si>
    <t>Samyang/Rokinon?Bower</t>
  </si>
  <si>
    <t>*Also in S and B</t>
  </si>
  <si>
    <t>rokinon-335mm-t15-cine-45.jpg</t>
  </si>
  <si>
    <t>Rokinon has crafted a quality set of cine lenses that don't break the bank with this series. This 14mm prime has hybrid aspherical lenses that make for sharply defined images with a minimum of distortion and chromatic aberrations. It benefits from being fast for such a wide angle lens at T3.1, and your 1st AC will love the fact that the aperture and focus scales are marked on both sides of the lens.</t>
  </si>
  <si>
    <t>rokinon-14mm-t31-cine-45.jpg</t>
  </si>
  <si>
    <t>rokinon_canon_lens_set.jpg</t>
  </si>
  <si>
    <t>rokinon_8mm.jpg</t>
  </si>
  <si>
    <t>rokinon_sony_mount_set.jpg</t>
  </si>
  <si>
    <t>rokinon_cv16m_s_16mm_t2_2_cine_lens_1376347087000_999957.jpg</t>
  </si>
  <si>
    <t>set_of_6_rokinon.jpg</t>
  </si>
  <si>
    <t>Rokinon has crafted a quality set of cine lenses that don't break the bank with this series. This 85mm prime has hybrid aspherical lenses that make for sharply defined images with a minimum of distortion and chromatic aberrations. It benefits from being fast for such a wide angle lens at T1.5, and your 1st AC will love the fact that the aperture and focus scales are marked on both sides of the lens.</t>
  </si>
  <si>
    <t>rokinon_ds85m_c_ds_85mm_t1_5_cine_1409334461000_1078630.jpg</t>
  </si>
  <si>
    <t>Rokinon has crafted a quality set of cine lenses that don't break the bank with this series. This 50mm prime has hybrid aspherical lenses that make for sharply defined images with a minimum of distortion and chromatic aberrations. And your 1st AC will love the fact that the aperture and focus scales are marked on both sides of the lens.</t>
  </si>
  <si>
    <t>1408988774000_1077535.jpg</t>
  </si>
  <si>
    <t>Rokinon has crafted a quality set of cine lenses that don't break the bank with this series. This 24mm prime has hybrid aspherical lenses that make for sharply defined images with a minimum of distortion and chromatic aberrations. And your 1st AC will love the fact that the aperture and focus scales are marked on both sides of the lens.</t>
  </si>
  <si>
    <t>1409333903000_1078639.jpg</t>
  </si>
  <si>
    <t>Rokinon has crafted a quality set of cine lenses that don't break the bank with this series. This 14mm prime has hybrid aspherical lenses that make for sharply defined images with a minimum of distortion and chromatic aberrations. It benefits from being fast for such a wide angle lens at T2.8, and your 1st AC will love the fact that the aperture and focus scales are marked on both sides of the lens.</t>
  </si>
  <si>
    <t>Rokinon_FE14M_C_14mm_Ultra_Wide_Angle_f_2_8_1393517196000_769532.jpg</t>
  </si>
  <si>
    <t>35mm T1.4 Stills Lens</t>
  </si>
  <si>
    <t>14mm T2.8 Stills Lens</t>
  </si>
  <si>
    <t>1395754532000_1040176.jpg</t>
  </si>
  <si>
    <t>When you need an ultra-wide perspective, reach for this fisheye lens from Rokinon. Minimum focus distance is 12".</t>
  </si>
  <si>
    <t>1305902768000_769428.jpg</t>
  </si>
  <si>
    <t>8mm f/3.5 Fisheye Stills Lens</t>
  </si>
  <si>
    <t>Rokinon has crafted a quality set of cine lenses that don't break the bank with this series. This 24mm prime has hybrid aspherical lenses that make for sharply defined images with a minimum of distortion and chromatic aberrations. And your 1st AC will love the fact that the aperture and focus scales are marked on both sides of the lens. Minimum focus distance is 2'6".</t>
  </si>
  <si>
    <t>1421086433000_IMG_455767.jpg</t>
  </si>
  <si>
    <t>Beauty as far as the eye can see, and a breathtaking sense of presence making you feel you are "right there, right now". From still images to long movies (max. 25 minutes long), record your memories in a vivid, high resolution 360° world. Record 360° Spherical Photos/Videos 2 x 12MP 1/2.3" Sensors, 14.4MP Output Twin Lens System, f/2 Maximum Aperture Full HD 1080p Video Recording at 30 fps Live Streaming via USB or HDMI Auto, Shutter Speed &amp; ISO Priority Modes ISO 1600 &amp; Manual Exposure up to 1 Min. Built-In Wi-Fi for Live View and Control 8GB Internal Memory</t>
  </si>
  <si>
    <t>ricoh.jpg</t>
  </si>
  <si>
    <t>The Theta V allows you to capture and livestream 360° 4K Videos. There is a built-In 4-Channel Microphone and it is capable of taking 12MP Photos. It has dual 12MP sensors and twin-lens system as well as 19 GB of internal memory.</t>
  </si>
  <si>
    <t>ricoh_theta_360_degree_camera_1504182015000_1333693.jpg</t>
  </si>
  <si>
    <t>Revo_sa_cs_14m_Hot_Shoe_to_1_4_1353350177000_860269.jpg</t>
  </si>
  <si>
    <t>S</t>
  </si>
  <si>
    <t>Sony</t>
  </si>
  <si>
    <t>Alpha a7S</t>
  </si>
  <si>
    <t>PXW-FS7</t>
  </si>
  <si>
    <t>NEX-FS700R</t>
  </si>
  <si>
    <t>PXW-FS5</t>
  </si>
  <si>
    <t>PMW-F3</t>
  </si>
  <si>
    <t>PMW-EX3</t>
  </si>
  <si>
    <t>32GB SxS Card</t>
  </si>
  <si>
    <t>PMW-F5</t>
  </si>
  <si>
    <t>Alpha A7R Mark II</t>
  </si>
  <si>
    <t>HXR-NX5U</t>
  </si>
  <si>
    <t>Alpha a7S II</t>
  </si>
  <si>
    <t>UWP-D16</t>
  </si>
  <si>
    <t>UWP-V Series</t>
  </si>
  <si>
    <t>UTX-B2</t>
  </si>
  <si>
    <t>NP-FW50</t>
  </si>
  <si>
    <t>ECM-77B</t>
  </si>
  <si>
    <t>Senken cos 11D microphone lavelier kit</t>
  </si>
  <si>
    <t>HDC-X300 HD</t>
  </si>
  <si>
    <t>HVR-V1U HDV</t>
  </si>
  <si>
    <t>DVCAM Recorder/Player</t>
  </si>
  <si>
    <t>HXR-MC1</t>
  </si>
  <si>
    <t>Twin Charger for L-Series Batteries</t>
  </si>
  <si>
    <t>XLR-K2M XLR</t>
  </si>
  <si>
    <t>HDR-AS100</t>
  </si>
  <si>
    <t>AKA-LU1</t>
  </si>
  <si>
    <t>HDR-AS10</t>
  </si>
  <si>
    <t>RM-LVR1</t>
  </si>
  <si>
    <t>AKA-FL2</t>
  </si>
  <si>
    <t>24-70mm f/2.8 GM FE Lens</t>
  </si>
  <si>
    <t>OLED 25" Monitor</t>
  </si>
  <si>
    <t>OLED 17" Monitor</t>
  </si>
  <si>
    <t>BP-U60</t>
  </si>
  <si>
    <t>BP-U30</t>
  </si>
  <si>
    <t>64GB SxS Pro Card</t>
  </si>
  <si>
    <t>128GB XQD Card</t>
  </si>
  <si>
    <t>Alpha a9</t>
  </si>
  <si>
    <t>MDR-7506 Headphones</t>
  </si>
  <si>
    <t>Sony CineAlta 4K Primes 6 Lens Set</t>
  </si>
  <si>
    <t>28-105mm f/4 Lens</t>
  </si>
  <si>
    <t>URX-P2 Wireless Mic</t>
  </si>
  <si>
    <t>PMW-200</t>
  </si>
  <si>
    <t>HDR-SR12</t>
  </si>
  <si>
    <t>PXW-FS7 Mark II</t>
  </si>
  <si>
    <t>Alpha a7R Mark II</t>
  </si>
  <si>
    <t>Alpha a7R III</t>
  </si>
  <si>
    <t>a6000</t>
  </si>
  <si>
    <t>50mm f/1.4 ZA Planar T* FE Lens</t>
  </si>
  <si>
    <t>28mm f/2</t>
  </si>
  <si>
    <t>16-50mm f/3.5-5.6 E PZ Lens</t>
  </si>
  <si>
    <t>Rx0</t>
  </si>
  <si>
    <t>Alpha a6300</t>
  </si>
  <si>
    <t>lpha a6500</t>
  </si>
  <si>
    <t>Alpha a7</t>
  </si>
  <si>
    <t>NEX-FS700U</t>
  </si>
  <si>
    <t>F65</t>
  </si>
  <si>
    <t>PDW-F355</t>
  </si>
  <si>
    <t>PDW-F800</t>
  </si>
  <si>
    <t>PMW-F55</t>
  </si>
  <si>
    <t>PXW-X200</t>
  </si>
  <si>
    <t>70-200mm f/4 G OSS FE Lens</t>
  </si>
  <si>
    <t>70-200mm f/2.8 GM OSS FE Lens</t>
  </si>
  <si>
    <t>100-400mm f/4.5-5.6 G Master FE Lens</t>
  </si>
  <si>
    <t>12-24mm f/4 G FE Lens</t>
  </si>
  <si>
    <t>28-135mm f/4 G OSS FE PZ Lens</t>
  </si>
  <si>
    <t>90mm f/2.8 Macro G OSS FE Lens</t>
  </si>
  <si>
    <t>35mm f/2.8 ZA Sonnar T* FE Lens</t>
  </si>
  <si>
    <t xml:space="preserve">Specular </t>
  </si>
  <si>
    <t>Kinect V1 DepthKit Mount</t>
  </si>
  <si>
    <t>Sennheiser</t>
  </si>
  <si>
    <t>G3 Wireless Microphone</t>
  </si>
  <si>
    <t>MD-421</t>
  </si>
  <si>
    <t>MKE-600</t>
  </si>
  <si>
    <t>MKH-60</t>
  </si>
  <si>
    <t>ME-66 with K6 Shotgun Mic</t>
  </si>
  <si>
    <t>ME-66</t>
  </si>
  <si>
    <t>eB35</t>
  </si>
  <si>
    <t>MK6</t>
  </si>
  <si>
    <t>Shotgun Microphone and K9 Phantom Power Module</t>
  </si>
  <si>
    <t>MKH-416</t>
  </si>
  <si>
    <t>MD42</t>
  </si>
  <si>
    <t>MD42 Wireless</t>
  </si>
  <si>
    <t>SKM100</t>
  </si>
  <si>
    <t>MKH-8060</t>
  </si>
  <si>
    <t>MKE-400</t>
  </si>
  <si>
    <t>G2 Wireless Microphone</t>
  </si>
  <si>
    <t>Sachtler</t>
  </si>
  <si>
    <t>DV-12 SB</t>
  </si>
  <si>
    <t>Video 20 Fluid Head Tripod</t>
  </si>
  <si>
    <t>ACE-M</t>
  </si>
  <si>
    <t>C Stand Bag</t>
  </si>
  <si>
    <t>Video 18 Fluid Head Tripod</t>
  </si>
  <si>
    <t>1011 System Ace L MS CF Tripod Head and Legs</t>
  </si>
  <si>
    <t>FSB 6 Fluid Head Tripod</t>
  </si>
  <si>
    <t>FSB 8 Fluid Head Tripod</t>
  </si>
  <si>
    <t>FSB 4 Fluid Head Tripod</t>
  </si>
  <si>
    <t>FSB 10 Fluid Head Tripod</t>
  </si>
  <si>
    <t>DV 8 Fluid Head Tripod</t>
  </si>
  <si>
    <t>Ace Follow Focus</t>
  </si>
  <si>
    <t>Samsung</t>
  </si>
  <si>
    <t>Gear VR Innovator Edition VR 60-3358-05-XP</t>
  </si>
  <si>
    <t>NX300</t>
  </si>
  <si>
    <t>Gear VR Kit</t>
  </si>
  <si>
    <t>4K 360 Camera</t>
  </si>
  <si>
    <t>Gear 360 Camera</t>
  </si>
  <si>
    <t>Gear 360 4K (2017)</t>
  </si>
  <si>
    <t>NX1</t>
  </si>
  <si>
    <t>T</t>
  </si>
  <si>
    <t>Audio Technica</t>
  </si>
  <si>
    <t>AT875R Shotgun Mic</t>
  </si>
  <si>
    <t>Tascam</t>
  </si>
  <si>
    <t>DR-40</t>
  </si>
  <si>
    <t>DR-60</t>
  </si>
  <si>
    <t>DR-680</t>
  </si>
  <si>
    <t>DR-60 D</t>
  </si>
  <si>
    <t>DR-100</t>
  </si>
  <si>
    <t>Tilta</t>
  </si>
  <si>
    <t>Tilta Universal Shoulder Rig</t>
  </si>
  <si>
    <t>Cage for Sony a7 Series</t>
  </si>
  <si>
    <t>4"x 5.65" Carbon Fibre Matte Box</t>
  </si>
  <si>
    <t>Matte Box 6.6"x 6.6"</t>
  </si>
  <si>
    <t>FF-T03 15mm Follow Focus</t>
  </si>
  <si>
    <t>10-17mm f/3.5-4.5 AF DX Fisheye Zoom</t>
  </si>
  <si>
    <t>11-16mm f/2.8 Lens</t>
  </si>
  <si>
    <t>U</t>
  </si>
  <si>
    <t>E-Z Up</t>
  </si>
  <si>
    <t>Pop Up 10'X10' Tent</t>
  </si>
  <si>
    <t>Orion DVC200 12' Camera Crane</t>
  </si>
  <si>
    <t>ProAm USA</t>
  </si>
  <si>
    <t>V</t>
  </si>
  <si>
    <t>K4000 Daylight LED Studio Panel (V-mount)</t>
  </si>
  <si>
    <t>K4000S SE Bi-Color 1x1 LED Light Panel</t>
  </si>
  <si>
    <t>F and V</t>
  </si>
  <si>
    <t>W</t>
  </si>
  <si>
    <t>Varavon</t>
  </si>
  <si>
    <t>Varavon Slidecam V-1200 Camera Slider</t>
  </si>
  <si>
    <t>Nokton f0.95 prime lense 17.5mm</t>
  </si>
  <si>
    <t>Nokton f0.95 prime lense 25mm</t>
  </si>
  <si>
    <t>Nokton f0.95 prime lense 42.5mm</t>
  </si>
  <si>
    <t>Nokton Prime lenses</t>
  </si>
  <si>
    <t>Voightlander</t>
  </si>
  <si>
    <t>Wooden Camera</t>
  </si>
  <si>
    <t>Camera Director's Monitor Cage</t>
  </si>
  <si>
    <t>Camera Shoudler Rig V2</t>
  </si>
  <si>
    <t>NATO Handle Kit (Plus, 100mm)</t>
  </si>
  <si>
    <t>Easy Top</t>
  </si>
  <si>
    <t>Quick Back V2</t>
  </si>
  <si>
    <t>Universal Hot Shoe</t>
  </si>
  <si>
    <t>Rosette Handle (Rubber)</t>
  </si>
  <si>
    <t>Power Extension (RED, R, 36")</t>
  </si>
  <si>
    <t>A-Lock</t>
  </si>
  <si>
    <t>Smart Top Plate</t>
  </si>
  <si>
    <t>NP-F770</t>
  </si>
  <si>
    <t>DuoLCD Charger for L&amp;M Series Batteries</t>
  </si>
  <si>
    <t>Universal 8-Bay Charger Kit</t>
  </si>
  <si>
    <t>Atomos 5200mAh Batteryu</t>
  </si>
  <si>
    <t>DUO LCD Charger</t>
  </si>
  <si>
    <t>LP-E6N Battery Pack</t>
  </si>
  <si>
    <t>Watson</t>
  </si>
  <si>
    <t>E-Z Fold (9'x 16') Truss</t>
  </si>
  <si>
    <t>The Screen Works</t>
  </si>
  <si>
    <t>Analog Way</t>
  </si>
  <si>
    <t>Centrix</t>
  </si>
  <si>
    <t>OPS300</t>
  </si>
  <si>
    <t>SmartFade</t>
  </si>
  <si>
    <t>Octo Fade</t>
  </si>
  <si>
    <t>VR Auto stitch streaming workstation</t>
  </si>
  <si>
    <t>Windows</t>
  </si>
  <si>
    <t>Xiaomi</t>
  </si>
  <si>
    <t>Mijia 360 Panoramic Camera</t>
  </si>
  <si>
    <t>Color Checker Classic Card</t>
  </si>
  <si>
    <t>X-Rite</t>
  </si>
  <si>
    <t>X</t>
  </si>
  <si>
    <t>Y</t>
  </si>
  <si>
    <t>Blue Yeti</t>
  </si>
  <si>
    <t>USB Mic</t>
  </si>
  <si>
    <t>Breeze 4K Drone</t>
  </si>
  <si>
    <t>Typhoon H</t>
  </si>
  <si>
    <t>Yuneec</t>
  </si>
  <si>
    <t>Z</t>
  </si>
  <si>
    <t>Zeiss</t>
  </si>
  <si>
    <t>Lens Set</t>
  </si>
  <si>
    <t>50mm f/1.5 ZE Planar T* Lens</t>
  </si>
  <si>
    <t>85mm f/1.4 ZE Planar T* Lens</t>
  </si>
  <si>
    <t>CP.2 Lens Set</t>
  </si>
  <si>
    <t>CP.2 Superspeed Lens Set</t>
  </si>
  <si>
    <t>35mm f/2 ZE Distagon T* Lens</t>
  </si>
  <si>
    <t>18mm T3.6 CP.2 Lens</t>
  </si>
  <si>
    <t>28mm T2.1 CP.2 Lens</t>
  </si>
  <si>
    <t>35mm T2.1 CP.2 Lens</t>
  </si>
  <si>
    <t>50mm T2.1 CP.2 Lens</t>
  </si>
  <si>
    <t>85mm T2.1 CP.2 Lens</t>
  </si>
  <si>
    <t>11-110 T2.2 Lens</t>
  </si>
  <si>
    <t>12mm T1.9 PL Ultra Prime Lens</t>
  </si>
  <si>
    <t>14mm T1.9 PL Ultra Prime Lens</t>
  </si>
  <si>
    <t>25mm T2.1 CP.2 Lens</t>
  </si>
  <si>
    <t>135mm T2.1 CP.2 Lens</t>
  </si>
  <si>
    <t>15mm T2.9 CP.2 Lens</t>
  </si>
  <si>
    <t>100mm T2.1 CP.2 Lens</t>
  </si>
  <si>
    <t>21mm T2.9 CP.2 Lens</t>
  </si>
  <si>
    <t>85mm T1.5 CP.2 Superspeed Lens</t>
  </si>
  <si>
    <t>50mm T1.5 CP.2 Superspeed Lens</t>
  </si>
  <si>
    <t>18mm T1.3 MKII Superspeed Lens</t>
  </si>
  <si>
    <t>25mm T1.3 MKII Superspeed Lens</t>
  </si>
  <si>
    <t>35mm T1.3 MKII Superspeed Lens</t>
  </si>
  <si>
    <t>50mm T1.3 MKII Superspeed Lens</t>
  </si>
  <si>
    <t>65mm T1.3 MKII Superspeed Lens</t>
  </si>
  <si>
    <t>85mm T1.3 MKII Superspeed Lens</t>
  </si>
  <si>
    <t>18mm f/3.5 ZE Distagon T* Lens</t>
  </si>
  <si>
    <t>35mm f/1.4 EF Distagon T* Lens</t>
  </si>
  <si>
    <t>35mm f/1.4 ZA Distagon T* Lens</t>
  </si>
  <si>
    <t>28mm f/2 ZE Distagon T* Lens</t>
  </si>
  <si>
    <t>85mm f/1.4 ZE Otus Distagon T* Lens</t>
  </si>
  <si>
    <t>85mm f/1.4 Nikon F Otus Distagon T* Lens</t>
  </si>
  <si>
    <t>55mm f/1.4 Nikon F Otus Distagon T* Lens</t>
  </si>
  <si>
    <t>28mm f/1.4 ZF.2 Otus Distagon T* Lens</t>
  </si>
  <si>
    <t>28mm f/1.4 ZE Otus Distagon T* Lens</t>
  </si>
  <si>
    <t>55mm f/1.4 EF Otus Distagon T* Lens</t>
  </si>
  <si>
    <t>21mm f/2.8 ZE  Distagon T* Lens</t>
  </si>
  <si>
    <t>21mm f/2.8 ZF.2 Nikon F Milvus Lens</t>
  </si>
  <si>
    <t>21mm f/2.8 ZE Milvus Lens</t>
  </si>
  <si>
    <t>35mm f/2 ZE Milvus Lens</t>
  </si>
  <si>
    <t>50mm f/1.4 ZE Milvus Lens</t>
  </si>
  <si>
    <t>50mm f/1.4 ZF.2 Nikon F Milvus Lens</t>
  </si>
  <si>
    <t>50mm f/2 M ZF.2 Nikon F Milvus Lens</t>
  </si>
  <si>
    <t>50mm f/2 M ZE Milvus Lens</t>
  </si>
  <si>
    <t>100mm f/2 M ZE Milvus Lens</t>
  </si>
  <si>
    <t>100mm f/2 M ZF.2 Nikon F Milvus Lens</t>
  </si>
  <si>
    <t>85mm f/1.4 ZE Milvus Lens</t>
  </si>
  <si>
    <t>85mm f/1.4 ZF.2 Nikon F Milvus Lens</t>
  </si>
  <si>
    <t>25mm f/2.8 ZF.2 Distagon T* Lens</t>
  </si>
  <si>
    <t>35mm T1.5 CP.2 Superspeed Lens</t>
  </si>
  <si>
    <t>Zoom</t>
  </si>
  <si>
    <t>H4n</t>
  </si>
  <si>
    <t>F8</t>
  </si>
  <si>
    <t>H5</t>
  </si>
  <si>
    <t>H1</t>
  </si>
  <si>
    <t>H2n</t>
  </si>
  <si>
    <t>H6</t>
  </si>
  <si>
    <t>H4N Pro</t>
  </si>
  <si>
    <t>H2</t>
  </si>
  <si>
    <t>Zacuto</t>
  </si>
  <si>
    <t>VCT Universal Baseplate</t>
  </si>
  <si>
    <t>EVF Flip</t>
  </si>
  <si>
    <t>Shoulder Pad</t>
  </si>
  <si>
    <t>Cunstock Shooter - Starter Kit</t>
  </si>
  <si>
    <t>Z-Finder Pro 3x</t>
  </si>
  <si>
    <t>C300 Z-Finder Recoil</t>
  </si>
  <si>
    <t>Gratical HD Micro OLED EVF</t>
  </si>
  <si>
    <t>C300/500 Z-Finder 1.8x</t>
  </si>
  <si>
    <t>Z-Finder 3.2" Mount Frame</t>
  </si>
  <si>
    <t>Z-Finder Pro 2.5x</t>
  </si>
  <si>
    <t>Stinger Shoulder Mounted DSLR Rig</t>
  </si>
  <si>
    <t>Tornado Grip for Z-Drive</t>
  </si>
  <si>
    <t>Zipgear</t>
  </si>
  <si>
    <t>Z Drive</t>
  </si>
  <si>
    <t>QR Dovetail Sliding Baseplate</t>
  </si>
  <si>
    <t>Recoil baseplate and shouldermount</t>
  </si>
  <si>
    <t>Mini DSLR Baseplate</t>
  </si>
  <si>
    <t>Zwiss Plate</t>
  </si>
  <si>
    <t>Z Cam</t>
  </si>
  <si>
    <t>S1 Professional 360 VR Camera</t>
  </si>
  <si>
    <t>2k Stereo Camera</t>
  </si>
  <si>
    <t>Zed</t>
  </si>
  <si>
    <t>Various</t>
  </si>
  <si>
    <t>Sandbag</t>
  </si>
  <si>
    <t>Apple Box</t>
  </si>
  <si>
    <t>ND Graduated Filter</t>
  </si>
  <si>
    <t>ND Filter</t>
  </si>
  <si>
    <t>Glimmer Glass</t>
  </si>
  <si>
    <t>Low Contrast Filter</t>
  </si>
  <si>
    <t>Hollywood Black Magic Filter</t>
  </si>
  <si>
    <t>Black Pro Mist Filter</t>
  </si>
  <si>
    <t>Polariser Filter</t>
  </si>
  <si>
    <t>Rota Pola Filter</t>
  </si>
  <si>
    <t>Clear Filter</t>
  </si>
  <si>
    <t>Antique Suede Filter</t>
  </si>
  <si>
    <t>Split Diopter Close-Up Filter</t>
  </si>
  <si>
    <t>Diopter Close-Up Filter</t>
  </si>
  <si>
    <t>Boom Pole</t>
  </si>
  <si>
    <t>XLR Cable 15'</t>
  </si>
  <si>
    <t>XLR Cable 25'</t>
  </si>
  <si>
    <t>XLR Cable 50'</t>
  </si>
  <si>
    <t>Lighting Kit</t>
  </si>
  <si>
    <t>Light Stand</t>
  </si>
  <si>
    <t xml:space="preserve">Baby Roller Stand </t>
  </si>
  <si>
    <t>#1 Spring Clamp</t>
  </si>
  <si>
    <t>#2 Spring Clamp</t>
  </si>
  <si>
    <t>#3 Spring Clamp</t>
  </si>
  <si>
    <t>Autopole</t>
  </si>
  <si>
    <t>Extension Cable</t>
  </si>
  <si>
    <t>Green Screen</t>
  </si>
  <si>
    <t>Ladder</t>
  </si>
  <si>
    <t>Speedrail</t>
  </si>
  <si>
    <t>Flags and Frames</t>
  </si>
  <si>
    <t>Clamps</t>
  </si>
  <si>
    <t>C-Stand</t>
  </si>
  <si>
    <t>Grip Gear</t>
  </si>
  <si>
    <t>Hi Hat</t>
  </si>
  <si>
    <t>77mm Filters</t>
  </si>
  <si>
    <t>D-Tap</t>
  </si>
  <si>
    <t>4"x 4" Matte Box</t>
  </si>
  <si>
    <t>4"x 4" Filter</t>
  </si>
  <si>
    <t>6.6"x 6.6" Filter</t>
  </si>
  <si>
    <t>150mm Bowl Tripod Baby Legs and Standard (23"- 63")</t>
  </si>
  <si>
    <t>Monopod VTC Plate</t>
  </si>
  <si>
    <t>Selfie Stick</t>
  </si>
  <si>
    <t>82mm Filter</t>
  </si>
  <si>
    <t>XQD Card</t>
  </si>
  <si>
    <t>CF Card</t>
  </si>
  <si>
    <t>SDXC Card</t>
  </si>
  <si>
    <t>Micro SDXC Memory Card</t>
  </si>
  <si>
    <t>V Mount Battery</t>
  </si>
  <si>
    <t>V Mount Battery Charger</t>
  </si>
  <si>
    <t>4"x 5.65" Filter</t>
  </si>
  <si>
    <t>BNC Cable</t>
  </si>
  <si>
    <t>Miniboom for C-Stand D600</t>
  </si>
  <si>
    <t>Boom Mic Stand</t>
  </si>
  <si>
    <t>Furni Pad</t>
  </si>
  <si>
    <t>35mm Film Stills Camera</t>
  </si>
  <si>
    <t>4"x 5.65" Matte Box</t>
  </si>
  <si>
    <t>138mm Filter</t>
  </si>
  <si>
    <t>China Balls</t>
  </si>
  <si>
    <t>Low Boy Rolling Combo Stand</t>
  </si>
  <si>
    <t>Triple Rise Combo Stand</t>
  </si>
  <si>
    <t>High Roller Stand</t>
  </si>
  <si>
    <t>C-Stand Cart</t>
  </si>
  <si>
    <t>Dimmer</t>
  </si>
  <si>
    <t>Light Meter</t>
  </si>
  <si>
    <t>Multi-Tool</t>
  </si>
  <si>
    <t>49mm Filter</t>
  </si>
  <si>
    <t>67mm Filter</t>
  </si>
  <si>
    <t>72mm Filter</t>
  </si>
  <si>
    <t>8'x 8' Frame</t>
  </si>
  <si>
    <t>4K mirrorless shooting has arrived! And yes, you'll have to record out through HDMI to an external recorder to get it, but when you see the dynamic range of this little camera (up to ISO 409600!) in low light situations, you won't even mind.</t>
  </si>
  <si>
    <t>Sony_Alpha_ILCE-7_(A7)_full-frame_camera_no_body_cap.jpg</t>
  </si>
  <si>
    <t>Sony's PXW-FS7 brings 4K to the native shoulder mounted cameras. For doc filmmakers and reality tv shooters, this is long overdue and very welcome. The Super 35 Sensor provides a beautiful cinematic quality and the stainless steel E mount ensures maximum compatibility with a variety of lenses via adaptors.</t>
  </si>
  <si>
    <t>sony_pxw_fs7_compact_4k_xdcam_with_1411575619000_1082825.jpg</t>
  </si>
  <si>
    <t>Sony's 4K answer to the competition does not disappoint. Its standout is the 4K Exmox Super35 CMOS sensor which can handle high speed shooting at 240 fps in 4K! This has made it a favorite of anyone shooting slow motion.</t>
  </si>
  <si>
    <t>262276.jpg</t>
  </si>
  <si>
    <t>Sony brings a lot of bang for your buck in this lightweight, handheld camera that is versatile for both traditional cinema needs, and lightweight docs-style shooting. With the internal RAW upgrade, it’s Super35 Exmor CMOS sensor is capable of going 4K at 3840 x 2160, but is still a viable option for doing 1920x1080. It offers 14 stops of dynamic range, and with it's capability to shoot up to 960 fps, it offers terrific super slow motion. Strip our kit down for lightweight run-and-gun style needs, or build it out fully for a complete cinema-style package.</t>
  </si>
  <si>
    <t>fs5-main.jpg</t>
  </si>
  <si>
    <t>Screen_Shot_2016-06-18_at_1.23.53_PM.png</t>
  </si>
  <si>
    <t>pmw_ex3.jpg</t>
  </si>
  <si>
    <t>sony_2sbs32g1b_us_32gb_sxs_1_g1b_memory_1432913742000_1138075.jpg</t>
  </si>
  <si>
    <t>This solid entry from Sony makes for a great run and gun, handheld camera that shoots up to 2K internally. But just add an external AXS-R5 recorder to bump it up to 4K! With 14 stops of dynamic range, and its 8.9MP Super 35mm CMOS, the image is truly one to be reckoned with.</t>
  </si>
  <si>
    <t>Sony-F5-F55-Side-Angle-e1351587138578.jpg</t>
  </si>
  <si>
    <t>4K internal mirrorless shooting has arrived! And with the new BIONZ X Image Processor, this little camera's new full frame sensor boasts 42 megapixels.</t>
  </si>
  <si>
    <t>a7r_ii.jpg</t>
  </si>
  <si>
    <t>videogifts.jpg</t>
  </si>
  <si>
    <t>4K internal mirrorless shooting has arrived and when you see the dynamic range of this little camera (up to ISO 409600!) in low light situations, you'll be blown away.</t>
  </si>
  <si>
    <t>sony_ilce7sm2_b_alpha_a7sii_mirrorless_digital_1441961130000_1186034.jpg</t>
  </si>
  <si>
    <t>sony_uwp_d1642_wireless_eng_basic_1400852710000_1025758.jpg</t>
  </si>
  <si>
    <t>Screen_Shot_2016-06-10_at_5.53.33_PM.png</t>
  </si>
  <si>
    <t>_____린샷_2016-06-10_오후_2.58.50.png</t>
  </si>
  <si>
    <t>Sony_NPFW50_NP_FW50_Lithium_Ion_Rechargeable_Battery_1430343942000_712854.jpg</t>
  </si>
  <si>
    <t>Sony-ECM-77B.jpg</t>
  </si>
  <si>
    <t>1403541935000_IMG_401057.jpg</t>
  </si>
  <si>
    <t>1256053048000_IMG_125797.jpg</t>
  </si>
  <si>
    <t>Sony_HVRV1U_HVR_V1U_HDV_Camcorder_461818.jpg</t>
  </si>
  <si>
    <t>__35-1.jpg</t>
  </si>
  <si>
    <t>1256562457000_607991.jpg</t>
  </si>
  <si>
    <t>Sony_acvq1051d_AC_Adapter_Quick_Twin_Charger_1355240799000_813535.jpg</t>
  </si>
  <si>
    <t>sony_xlr_k2m_xlr_box_mi_1413993926000_1078571.jpg</t>
  </si>
  <si>
    <t>1389205627000_IMG_362387.jpg</t>
  </si>
  <si>
    <t>sony_rmlvr1_wifi_remote_with_lcd_1378913963000_1004319.jpg</t>
  </si>
  <si>
    <t>sony_akafl2_float_mount_1384976876000_1014777.jpg</t>
  </si>
  <si>
    <t>Screen_Shot_2017-02-20_at_10.56.06_AM.png</t>
  </si>
  <si>
    <t>Screen_Shot_2017-05-28_at_11.37.41_AM.png</t>
  </si>
  <si>
    <t>Sony-25-inch-OLED-Monitor.jpg</t>
  </si>
  <si>
    <t>BBBPU60-2T.jpg</t>
  </si>
  <si>
    <t>Sony_BP_U30_BP_U30_Lithium_Ion_Battery_1233158582000_526423.jpg</t>
  </si>
  <si>
    <t>Sony-SxS-64GB-Pro-Card.jpg</t>
  </si>
  <si>
    <t>sony_qdg128e_j_128gb_xqd_g_e_memory_card_1466791583000_1261721.jpg</t>
  </si>
  <si>
    <t>Sony continues it's line of 4K mirrorless shooting with the a9. The new CMOS sensor is 24.2MP and it can handle UHD 4K recording internally at up to 30fps. With a high sensitivity in low light situations (up to ISO 204,800), this camera offers stunning picture when UHD 4K (3840x2160p) is a must. E Mount lens mount.</t>
  </si>
  <si>
    <t>1492714448000_IMG_784473.jpg</t>
  </si>
  <si>
    <t>Omnipresent in the audio recording industry, these headphones from Sony set the standard with their low impedance and closed ear design.</t>
  </si>
  <si>
    <t>Sony_MDR_7506_MDR_7506_Headphone_1317218772000_49510.jpg</t>
  </si>
  <si>
    <t>Sony_6_Lens_Set.jpg</t>
  </si>
  <si>
    <t>Sony A/Full-Frame Format</t>
  </si>
  <si>
    <t>sigma_635_205_24_105mm_f4_dg_os_1381934884000_1009624.jpg</t>
  </si>
  <si>
    <t>SIGMA</t>
  </si>
  <si>
    <t>Cardioid Lavalier Microphone Mic &amp; Line Switchable Input AA Battery Powered x2</t>
  </si>
  <si>
    <t>Sony_UTX_B2X_4244_UTX_B2_Bodypack_Transmitter_for_1238168793000_570263.jpg</t>
  </si>
  <si>
    <t>Three 1/2" Exmor CMOS Sensors Fujinon Lens with 14x Zoom Ratio MPEG HD422 at 50 Mbps HD422 1080p up to 50/60fps</t>
  </si>
  <si>
    <t>Sony_PMW_200_XDCAM_HD422_Camcorder_1343746074000_884602.jpg</t>
  </si>
  <si>
    <t>Record 1920 x 1080 Full HD video to 120 GB hard drive 10.2-megapixel still image capture Face Detection technology for video and still images ClearVid CMOS sensor with Exmor technology 3.2-inch widescreen touch-panel Xtra Fine LCD screen</t>
  </si>
  <si>
    <t>download_(13).jpg</t>
  </si>
  <si>
    <t>Sony's FS7M2 continues to bring 4K to the native shoulder mounted cameras. With an added color space option, an Electronic Vari ND Filter, and some new cosmetic improvements the Mark II gives it's predecessor an overdue makeover. The Super 35 Sensor provides a beautiful cinematic quality and the stainless steel E mount ensures maximum compatibility with a variety of lenses via adaptors.</t>
  </si>
  <si>
    <t>Screen_Shot_2017-10-25_at_4.12.00_PM.png</t>
  </si>
  <si>
    <t>4K internal mirrorless shooting has arrived! 36.4MP Full Frame Exmor CMOS Sensor No Optical Low-Pass Filter Gapless On-Chip Lens Design BIONZ X Image Processor Direct Compatibility with E-mount Lenses 3.0" Tiltable TFT LCD with 1,229K-Dots 2.4M-Dot OLED Electronic Viewfinder Full 1080/60p Video with Remote Capture</t>
  </si>
  <si>
    <t>Screen_Shot_2017-10-25_at_5.23.11_PM.png</t>
  </si>
  <si>
    <t>This takes the A7R II's 42 MP sensor and upgrades it significantly. There are now 15 stops of dynamic range and it is full UHD 4K capable at 30fps and Full HD video can be recorded up to 120 fps. Product Highlights: 42MP Full-Frame Exmor R BSI CMOS Sensor BIONZ X Image Processor &amp; Front-End LSI 399-Point AF System &amp; 10 fps Shooting UHD 4K30p Video with HLG &amp; S-Log3 Gammas 3.69m-Dot Tru-Finder OLED EVF 3.0" 1.44m-Dot Tilting Touchscreen LCD 5-Axis SteadyShot INSIDE Stabilization ISO 102400 &amp; Pixel Shift Multi Shooting Built-In Wi-Fi/Bluetooth, Dual SD Slots USB 3.1 Gen 1 Type-C Port &amp; PC Sync Port</t>
  </si>
  <si>
    <t>Sony_A7RIII.jpg</t>
  </si>
  <si>
    <t>The Sony Alpha 6000 24.3MP APS-C Exmor APS HD CMOS Sensor BIONZ X Image Processor Tru-Finder 0.39" 1,440k-Dot OLED EVF 3.0" 921k-Dot Xtra Fine Tilting LCD Full HD 1080p XAVC S Video at 24/60 fps Built-In Wi-Fi Connectivity with NFC Fast Hybrid AF &amp; 179 Phase-Detect Points Up to 11 fps Shooting and ISO 25600 Multi-Interface Shoe and Built-In Flash</t>
  </si>
  <si>
    <t>1392176857000_1029860.jpg</t>
  </si>
  <si>
    <t>E-Mount Lens/Full-Frame Format Aperture Range: f/1.4 to f/16 One AA Element &amp; One Aspherical Element One Extra-Low Dispersion Element</t>
  </si>
  <si>
    <t>sony_sel50f14z_planar_t_fe_50mm_1468248155000_1264965.jpg</t>
  </si>
  <si>
    <t>E-Mount Lens/Full-Frame Format Aperture Range: f/2 to f/22 One AA Element &amp; Two Aspherical Elements Two Extra-Low Dispersion Elements</t>
  </si>
  <si>
    <t>sony_sel28f20_fe_28mm_f_2_lens_1425440738000_1126139.jpg</t>
  </si>
  <si>
    <t>E-Mount Lens/APS-C Format 24-75mm (35mm Equivalent) Aperture Range: f/3.5-5.6 to f/22-36 One ED Element; Four Aspherical Elements</t>
  </si>
  <si>
    <t>Sony_selp1650_16_50mm_F_3_5_5_6_Power_Zoom_1367604530000_892390.jpg</t>
  </si>
  <si>
    <t>Sony's action cam answer to the GoPro, the Sony rx0 provides a 21MP 1" Stacked CMOS Sensor that captures 1080p60 Video Internally and can capture 4:2:2 UHD 4K Video via HDMI to an external recorder. Zeiss 24mm-Equivalent Lens, f/4 Aperture XAVC-S, AVCHD and .MP4 Recording Timecode-Sync Multiple Cameras S-Log2 Gamma &amp; Picture Profile Settings Control via iOS or Android App</t>
  </si>
  <si>
    <t>sony_rx0_action_camera_1504189249000_1359163.jpg</t>
  </si>
  <si>
    <t>Sony_hdras10_b_HDR_AS10_HD_Action_Camcorder_1345499119000_887140.jpg</t>
  </si>
  <si>
    <t>24.2MP APS-C Exmor CMOS Sensor BIONZ X Image Processor XGA Tru-Finder 2.36m-Dot OLED EVF 3.0" 921.6k-Dot Tilting LCD Monitor Internal UHD 4K30 &amp; 1080p120 Recording S-Log3 Gamma and Display Assist Function Built-In Wi-Fi with NFC 4D FOCUS with 425 Phase-Detect Points Up to 11 fps Shooting and ISO 51200</t>
  </si>
  <si>
    <t>1454515585000_1222744.jpg</t>
  </si>
  <si>
    <t>24.2MP APS-C Exmor CMOS Sensor BIONZ X Image Processor XGA Tru-Finder 2.36m-Dot OLED EVF 3.0" 921.6k-Dot Tilting Touchscreen LCD Internal UHD 4K Video &amp; S-Log3 Gamma S&amp;Q Motion in Full HD from 1-120 fps 5-Axis SteadyShot INSIDE Stabilization Built-In Wi-Fi with NFC 4D FOCUS with 425 Phase-Detect Points Up to 11 fps Shooting and ISO 51200</t>
  </si>
  <si>
    <t>1475763700000_1289585.jpg</t>
  </si>
  <si>
    <t>24.3MP Full Frame Exmor CMOS Sensor BIONZ X Image Processor Direct Compatibility with E-mount Lenses 3.0" Tiltable TFT LCD with 921.6K-Dots 2.4M-Dot OLED Electronic Viewfinder Full 1080/60p with Uncompressed Output Fast Hybrid Autofocus; 5 fps Burst Rate</t>
  </si>
  <si>
    <t>e8d4b0903356f8eb0d47231cef261217.jpg</t>
  </si>
  <si>
    <t>4K Exmor Super 35mm CMOS Sensor Capture 1920 x 1080/60p Video NXCAM Recording Format (AVCHD) LCD 3.5" Screen with VF Attachment Up to 960 fps Super Slow Motion ISO 500 (0 dB) to ISO 16,000 (30 dB) Dual XLR, HDMI &amp; 3G/HD-SDI Connectivity FMU Port Supports Optional Memory</t>
  </si>
  <si>
    <t>1333050430000_IMG_247618.jpg</t>
  </si>
  <si>
    <t>Winner of the Academy's 2017 Scientific and Engineering Award, the F65 is a study in superlatives. It conveys the widest color range, with Sony’s S-Gamut. The highest recording precision with 16-bit linear RAW. The strictest geometric integrity with a mechanical rotary shutter. And Sony tops it off with the stunning detail of a 20 megapixel image sensor. No wonder the F65 has captured some of the world’s most astonishing moving images. It has an exceptional track record in movies, commercials, music videos and episodic TV. And now Sony is taking the F65 further than ever, with 4K live production, S-Log3 grayscale encoding, high speed RAW recording at up to 120 frames per second and 12-bit, 4:4:4 high definition. 20M 8k SENSOR WIDE COLOR GAMUT 16 Bit RAW Recording IIF ACES Workflow High Frame Rate 1 to 120p Rotary Shutter Dockable SR Memory Recorder SR-R4</t>
  </si>
  <si>
    <t>fs65-main.jpg</t>
  </si>
  <si>
    <t>The PDW-F355 is a tape-less XDCAM HD camcorder, perfectly balanced to fit on your shoulder and featuring the latest evolution of familiar Sony ergonomics.The PDW-F355 is exceptionally versatile; at the flick of a switch you have the choice of shooting 50i/59.94i/23.98P/25P/29.97P pictures in DV and HD.</t>
  </si>
  <si>
    <t>303124.jpg</t>
  </si>
  <si>
    <t>The PDW-F800 camcorder is the newest member of the XDCAM family. It offers multi-format recording flexibility as standard - including SD recording and a frame rate of 23.98P in 1080 mode. It is equipped with three 2/3-inch type CCDs and a “Power HAD FX” progressive CCD with 1920 x 1080 effective pixels. Stunning-quality HD images can be captured by this high-resolution CCD and advanced digital signal. On top of the exceptional technology, the PDW-F800 offers very high quality HD recording at a data rate of up to 50Mbps using the MPEG-2 4:2:2P@HL compression.</t>
  </si>
  <si>
    <t>SONY_PDW-F800.gif</t>
  </si>
  <si>
    <t>The PMW-F55’s Sony 4K image sensor captures a true 4K 4096 x 2160 DCI-standard cinema image. Its 4K CMOS sensor features 11.6 megapixels (total) and 8.9 megapixels (effective). The “Frame Image Scan” technology used by F55 sensor eliminates flash band and image artifacts common to conventional CMOS sensors. This sensor captures with an impressive 14 stops of exposure latitude with excellent sensitivity and low noise. The F55 image sensor is also equipped with the same advanced color filter array technology used in Sony’s flagship F65, which delivers color gamut that’s wider than 35mm motion picture print film. 8.9MP Super 35mm CMOS Image Sensor Internal 4K/2K/HD Recording Electronic Global Shutter Highly Modular Design Up 240 fps 2K with Optional AXS-R5 Native FZ-Mount and PL-Mount Adapter Dynamic Range Rated at 14 Stops Wider Color Gamut than Film SxS Pro+ Media Cards</t>
  </si>
  <si>
    <t>1458504852000_IMG_604917.jpg</t>
  </si>
  <si>
    <t>As the successor of PMW-200, the PXW-X200 has many new and unique features, including newly developed 17x Fujinon professional HD zoom lens with three independent rings with end stops, able to zoom from 29.3mm to 499mm (35mm equivalent), dual SxS memory card slots for simultaneous recordings*, relay recording, cache recordings, and Slow &amp; Quick function. Resolutions up to 1080p at 60 fps 10-Bit 4:2:2 XAVC Intra/Long Codecs MPEG HD422, HD420, IMX, &amp; DV Codecs 17x Zoom Lens 29.3-499mm (35mm Equivalent) Dual SxS Memory Card Slots 3G-SDI Output Genlock In, Time Code In/Out Wi-Fi Remote Control via Included Module</t>
  </si>
  <si>
    <t>sony_pxw_x200_xdcam_camcorder_1411418204000_1082160.jpg</t>
  </si>
  <si>
    <t>E-Mount Lens/Full-Frame Format Aperture Range: f/4 to f/22 Two ED Elements &amp; One Super ED Element Two AA Elements &amp; One Aspherical Element Nano AR Coating Dual Linear AF Motors; Internal Focus Optical SteadyShot Image Stabilization Focus Hold Buttons; Focus Range Limiter Dust and Moisture-Resistant Construction Removable, Rotating Tripod Collar</t>
  </si>
  <si>
    <t>sony_sel70200g_70_200mm_f_4_5_6_g_lens_1392176857000_1029862.jpg</t>
  </si>
  <si>
    <t>E-Mount Lens/Full-Frame Format Aperture Range: f/2.8 to f/22 One XA Element &amp; Two Aspherical Elements Four ED Elements &amp; Two Super ED Elements Nano AR Coating Dual Linear &amp; Super Sonic Wave AF Motors Optical SteadyShot Image Stabilization Focus Hold Buttons; Focus Range Limiter Dust and Moisture-Resistant Construction Eleven-Blade Circular Diaphragm</t>
  </si>
  <si>
    <t>sony_sel70200gm_fe_70_200mm_f_2_8_gm_1454514360000_1222776.jpg</t>
  </si>
  <si>
    <t>E-Mount Lens/Full-Frame Format Aperture Range: f/4.5-5.6 to f/32-40 One Super ED Element and Two ED Elements Nano AR Coating and Fluorine Coating Direct Drive Super Sonic Wave AF Motor Optical SteadyShot Image Stabilization Zoom Torque Adjustment Ring Internal Focus; Focus Range Limiter Dust and Moisture-Resistant Construction Nine-Blade Circular Diaphragm</t>
  </si>
  <si>
    <t>sony_sel100400gm_fe_100_400mm_f_4_5_5_6_gm_1492618026000_1333230.jpg</t>
  </si>
  <si>
    <t>E-Mount Lens/Full-Frame Format Aperture Range: f/4 to f/22 Four Aspherical Elements One Super ED and Three ED Elements Nano AR Coating Direct Drive Super Sonic Wave AF Motor Focus Hold Button; AF/MF Switch Dust and Moisture-Resistant Construction Seven-Bladed Rounded Diaphragm</t>
  </si>
  <si>
    <t>sony_sel1224g_fe_12_24mm_f_4_g_1495038144000_1338517.jpg</t>
  </si>
  <si>
    <t>E-Mount Lens/Full-Frame Format Aperture Range: f/4 to f/22 Five Aspherical &amp; Three ED Elements Smooth Motion Optics Support 4K Video No Focus Shift or Lens Breathing Power Zoom with Super Sonic Wave Motor Linear Autofocus Motor; Internal Focus Optical SteadyShot Image Stabilization Control Rings for Iris, Focus, and Zoom Removable, Rotating Tripod Collar</t>
  </si>
  <si>
    <t>sony_selp28135g_e_pz_28_135mm_f_4_1410504666000_1082051.jpg</t>
  </si>
  <si>
    <t>E-Mount Lens/Full-Frame Format Aperture Range: f/2.8 to f/22 1:1 Magnification Ratio; Internal Focus Aspherical, ED and Super ED Elements Nano AR Coating Direct Drive Super Sonic Wave AF Motor Optical SteadyShot Image Stabilization Sliding Focus Ring for AF/MF Selection Focus Hold Button; Focus Range Limiter Minimum Focus Distance: 11"</t>
  </si>
  <si>
    <t>1425440738000_1126140.jpg</t>
  </si>
  <si>
    <t>E-Mount Lens/Full-Frame Format Aperture Range: f/2.8 to f/22 Three Double-Sided Aspherical Elements Zeiss T* Anti-Reflective Coating Linear Autofocus Motor; Internal Focus Minimum Focus Distance: 13.8" Dust and Moisture-Resistant Construction Seven-Blade Circular Diaphragm</t>
  </si>
  <si>
    <t>1381902622000_1008123.jpg</t>
  </si>
  <si>
    <t>Looking to bend reality and experiment with VR filmmaking? If you're using the DepthKit RGB +D Filmmaking Kit to do it, then this mount is for you. It easily holds the Xbox Kinect in place so that it can be used with your DepthKit calibrated camera, and has a standard threaded 1/4"""-20 tripod mount.</t>
  </si>
  <si>
    <t>Oblique_Kinect.jpg</t>
  </si>
  <si>
    <t>This compact shotgun mic is ideal for DSLR or videography shooting. It's a very directional offering from Sennheiser, so what you point at is what you're going to hear. Supports phantom and battery power, and with the low cut filter you can cut down on some wind noise if you're shooting out doors.</t>
  </si>
  <si>
    <t>square_louped_MKE_600_01_sq_sennheiser.jpg</t>
  </si>
  <si>
    <t>This omni-directional microphone is omni-present in the industry, and with good reason. The G3 is the most reliable wireless lavalier in its price range. Used on everything from indie films to corporate interviews, its a safe bet for close range wireless recording.</t>
  </si>
  <si>
    <t>square_louped_ew_112p_g3_01_sq_vocal_sennheiser.png</t>
  </si>
  <si>
    <t>The MKH series gives you a powerful, directional microphone in a short shotgun body. It's supercardioid polar pickup pattern has superb lateral sound muting to help you avoid noise you don't want to record.</t>
  </si>
  <si>
    <t>square_louped_mkh_60-p48_01_sq_vocal_sennheiser.png</t>
  </si>
  <si>
    <t>It's supercardiod pickup pattern will maximize what you get at the front end, while at the same time being a very directional mic. The K6 lets the mic attain high output with low noise operation, as well as the option to utilize the switchable bass roll off filter. It's compact design and exceptional front end pickup pattern has made it a favorite with ENG and news crews that operate in tight, sometimes loud circumstances.</t>
  </si>
  <si>
    <t>square_louped_me_66_01_sq_vocal_sennheiser.png</t>
  </si>
  <si>
    <t>square_louped_me_66_01_sq_vocal_sennheiser-1.png</t>
  </si>
  <si>
    <t>product_detail_x1_desktop_square_louped_e-835-sq-01-sennheiser.jpg</t>
  </si>
  <si>
    <t>Sennheiser_MKE_600_Shotgun_1346273173000_878340.jpg</t>
  </si>
  <si>
    <t>Sennheiser_ME66_K6_COMBO_ME66_K6_Super_Cardioid_Mic_73100.jpg</t>
  </si>
  <si>
    <t>A standard in the industry, this hypercardioid/lobar mic is highly directional. Perfect for outdoor shooting in addition to areas where crowd noise may be an issue.</t>
  </si>
  <si>
    <t>Sennheiser_MKH416_P48U3_MKH_416_Short_Shotgun_79502.jpg</t>
  </si>
  <si>
    <t>Sennheiser_SKM_100_835_G3_A_SKM100_835_Cardioid_Dynamic_1254244024000_618829.jpg</t>
  </si>
  <si>
    <t>Short Shotgun Microphone Supercardioid/Lobar Pickup Symmetrical RF Transducer</t>
  </si>
  <si>
    <t>Sennheiser_MKH_8060_MKH_8060_Short_1301596362000_762305.jpg</t>
  </si>
  <si>
    <t>Perfect for DSLRs! Coiled 1/8" (3.5mm) Mini TRS Connector Integrated Shock Mount All Metal Construction Single AAA Battery Powered</t>
  </si>
  <si>
    <t>Sennheiser_MKE_400_MKE_400_Compact_Video_1405610463000_534023.jpg</t>
  </si>
  <si>
    <t>NR9653106316.jpg</t>
  </si>
  <si>
    <t>For a professional shoot, a fluid head makes the difference. This Sachtler head has a smooth pan and tilt of +90º to -75º. And it can support up to 31 lbs, so it's perfect for DSLRs and small ENG cameras</t>
  </si>
  <si>
    <t>1205-Fluid-head-DV-12-SB.jpg</t>
  </si>
  <si>
    <t>With it's 16 point counterbalance, this fluid head tripod from Sachtler is unparalleled in the industry. Supports up to 55 lbs.</t>
  </si>
  <si>
    <t>Sachtler-Video-20-S1-Tripod-Rental-NYC.jpg</t>
  </si>
  <si>
    <t>Sachtler_1001_Ace_Fluid_Head_with_1464100536000_822102.jpg</t>
  </si>
  <si>
    <t>sachtler_sl2001_c_stand_bag_1422474641000_1115060.jpg</t>
  </si>
  <si>
    <t>An industry standard, this two stage tripod sports a 100mm bowl and a smooth fluid head. 44lb weight capacity.</t>
  </si>
  <si>
    <t>sachtler_1863s2_video_18_s2_fluid_1470076648000_1259156.jpg</t>
  </si>
  <si>
    <t>Supports Cameras Up to 13.2 Pounds.</t>
  </si>
  <si>
    <t>sachtler_1011_system_ace_l_ms_1470074711000_898212.jpg</t>
  </si>
  <si>
    <t>Perfect for ENG or DSLR operators in need of a smooth pan/tilt, the FSB 6 is a fluid head tripod that can support up to 17.6 lbs.</t>
  </si>
  <si>
    <t>1484576127000_IMG_737051.jpg</t>
  </si>
  <si>
    <t>Perfect for ENG or DSLR operators in need of a smooth pan/tilt, the FSB 8 is a fluid head tripod that can support up to 20 lbs.</t>
  </si>
  <si>
    <t>1241194544000_IMG_90278.jpg</t>
  </si>
  <si>
    <t>Perfect for DSLR operators or videographers in need of a smooth pan/tilt, the FSB 4 is a fluid head tripod that can support up to 8.8 lbs.</t>
  </si>
  <si>
    <t>1233775833000_IMG_73535.jpg</t>
  </si>
  <si>
    <t>Speedbalance Technology Camera Screw Compartment 100mm Bowl Illuminating Touch Bubble 26 lbs Capacity</t>
  </si>
  <si>
    <t>Sachtler_1006_1006_DV_10_SB_Fluid_1286400651000_610984.jpg</t>
  </si>
  <si>
    <t>Supports 26.4 lbs 100mm bowl</t>
  </si>
  <si>
    <t>scs8100eng.jpg</t>
  </si>
  <si>
    <t>15mm Rod-Mount; Double-Sided Backlash-Free 0.8 Mod Drive Gear &amp; 35mm Friction Wheel Reversible Gear Mechanism</t>
  </si>
  <si>
    <t>sachtler_s2153_0001_ace_follow_focus_1399569698000_1045168.jpg</t>
  </si>
  <si>
    <t>Samsung partnered with Oculus VR to create this cutting edge VR headset. Paired with an easily attached Galaxy Note 4 phone, the Gear VR will produce a 360 all immersive environment that brings gaming and content viewing to the next level.</t>
  </si>
  <si>
    <t>gear-vr_feature_compatibility_l.jpg</t>
  </si>
  <si>
    <t>Gear VR</t>
  </si>
  <si>
    <t>Samsung partnered with Oculus VR to create this cutting edge VR headset. Paired with an easily attached Galaxy Note 6 or 6 Edge phone, the Gear VR will produce a 360 all immersive environment that brings gaming and content viewing to the next level.</t>
  </si>
  <si>
    <t>Gear_VR_Package_2.jpg</t>
  </si>
  <si>
    <t>Samsung-NX300-Digital-Camera-with-18-55mm-01d508da-0c43-4580-8261-3bd94656b36a_600.jpg</t>
  </si>
  <si>
    <t>Gear_VR_Package_2-1.jpg</t>
  </si>
  <si>
    <t>The 2017 version of the Samsung Gear 360 allows you to broadcast live while simultaneously recording 4K resolution video. DCI 4K 360 Recording &amp; Live Broadcasting Dual 8.4MP CMOS Sensors Dual f/2.2 Aperture Fisheye Lenses Dual &amp; Single Lens Video/Photo Modes 360/Stretch/Round/Dual/Panorama Views Conversion of 360 Content to Standard Built-In Stereo Microphone Records to up to 256GB Cards Built-In Wi-Fi</t>
  </si>
  <si>
    <t>samsung_sm_r210nzwaxar_gear_360_4k_spherical_1493155606000_1334250_(1).jpg</t>
  </si>
  <si>
    <t>If you're looking to explore content creation in VR, but don't want to break the bank, this offering from Sony is a great place to start. Using the two 15 megapixel cameras within, you can create 360° Spherical videos (or pictures) at 3840 x 1920 and 30fps.</t>
  </si>
  <si>
    <t>The 2017 release allows for livestreaming while simultaneously recording 360° 4K video. DCI 4K 360 Recording &amp; Live Broadcasting Dual 8.4MP CMOS Sensors Dual f/2.2 Aperture Fisheye Lenses Dual &amp; Single Lens Video/Photo Modes 360/Stretch/Round/Dual/Panorama Views Conversion of 360 Content to Standard Built-In Stereo Microphone Records to up to 256GB Cards Built-In Wi-Fi Dust- and Splash-Proof</t>
  </si>
  <si>
    <t>uk-gear-360-c200-sm-c200nzwabtu-000000006-tripod-white.jpg</t>
  </si>
  <si>
    <t>samsung_sm_r210nzwaxar_gear_360_4k_spherical_1493155606000_1334250.jpg</t>
  </si>
  <si>
    <t>Samsung's entry to the mirrorless camera market. 28.2MP BSI APS-C CMOS Sensor DRIMe V Image Signal Processor 4K Video Recording at 24 fps UHD Video Recording at 30 fps 3.0" 1036k-Dot Tilt-Touchscreen Monitor 2360k-Dot XGA OLED Electronic Viewfinder Advanced Hybrid Autofocus System 205 Phase-Detection AF Points 15 fps Burst with AF NX Mount</t>
  </si>
  <si>
    <t>1418934092000_1081854.jpg</t>
  </si>
  <si>
    <t>8' Jib Arm and 4' Extension 9' Maximum Reach from Fulcrum Breaks Down into Three 4' Sections Aluminum Stand cameras up to 8 lbs</t>
  </si>
  <si>
    <t>product_detailed_image_30381_451.jpg</t>
  </si>
  <si>
    <t>proam_usa_tk200_12_orion_dvc200_camera_crane_1415817473000_1090182.jpg</t>
  </si>
  <si>
    <t>Screen_Shot_2017-09-26_at_5.03.13_PM.png</t>
  </si>
  <si>
    <t>Color balancing made easy.</t>
  </si>
  <si>
    <t>X_Rite_MSCCC_Original_ColorChecker_Card_1448298494000_465286-1.jpg</t>
  </si>
  <si>
    <t>16-Bit/48 kHz Resolution 4 Selectable Polar Patterns 1/8" Headphone Monitoring Jack Instant Mute</t>
  </si>
  <si>
    <t>Blue_YETI_Yeti_Multi_Pattern_USB_Microphone_1390950459000_857749.jpg</t>
  </si>
  <si>
    <t>4K STUNNING VIDEO &amp; PICTURES with breathtaking 4K Ultra High Definition and ultra-clear 13 megapixel stills. EASY TO USE no flying experience necessary to take dramatic aerial group photos and video, simply pick from 5 automated flight modes to get the shot of your choice: Selfie, Pilot, Orbit, Journey, Follow Me. SAFE TO FLY with built-in Indoor Positioning System to allow Breeze to hold its position indoors and outdoors; the propeller protectors preventing them from coming into contact with other objects. Also, automatically returns to home and lands with the tap of a button. SOCIAL Download the app on your mobile device to control and navigate Breeze, edit photos &amp; videos, then instantly share to your favorite social media sites.</t>
  </si>
  <si>
    <t>51xel-EO0oL._SL1250_.jpg</t>
  </si>
  <si>
    <t>READY OUT OF THE BOX - Comes with ST16 all-in-one controller (no need for a separate phone / tablet), Integrated 7-inch Android touchscreen, Wizard, backpack, extra battery and extra props SAFE TO FLY WITH BUILT-IN COLLISION AVOIDANCE - Intel® RealSense™ Technology intelligently navigates around obstacles, FAA compliant no-fly zone, 6 rotor safety with 5 rotor fail-safe, and ultrasonic collision prevention. EASY TO FLY – GPS stabilized flight control, with 8 smart flight modes, automatic return to home, auto takeoff and auto land. No experience needed. 4K STUNNING VIDEO &amp; IMAGE QUALITY - 4K Ultra High Definition video, 12 megapixel photos, full 360° anti-vibration gimbal, retractable landing gear for 360° filming, and team mode so one films while the other flies.</t>
  </si>
  <si>
    <t>81BzyhJKsML._SL1500_.jpg</t>
  </si>
  <si>
    <t>If you're on a budget, but don't want to trust the on-board mic, then this offering from Audio-Technica gives you a step up. Operates on phantom power.</t>
  </si>
  <si>
    <t>at875r_1_sq.jpg</t>
  </si>
  <si>
    <t>When you need a simple and portable setup, this offering from Tascam delivers. Can record WAV/BWF and MP3 files on its built in condenser mics as well as through XLR and 1/4" inputs.</t>
  </si>
  <si>
    <t>tascam_dr_40br_dr_40_portable_pcm_recorder_xlr_1429739021000_1134048.jpg</t>
  </si>
  <si>
    <t>tascam_dr_60mkii_portable_recorder_for_dslr_1412262325000_1084690.jpg</t>
  </si>
  <si>
    <t>tascam_dr_680mkii_8_track_field_recorder_1422476436000_1116651.jpg</t>
  </si>
  <si>
    <t>tascam_dr_60mkii_portable_recorder_for_dslr_1412262325000_1084690-1.jpg</t>
  </si>
  <si>
    <t>Four microphones - Stereo Cardioid and Omni Condenser Mics 44.1k to 96k sampling rates for WAV file recording MP3 and WAV file Recording and Playback XLR Mic Inputs with Phantom Power High-performance microphone preamp with 60dB of gain Premium AKM Audio4Pro™ A/D converters with over 100dB signal to noise ratio 3.5mm Line Inputs and Outputs</t>
  </si>
  <si>
    <t>dr100_right.jpg</t>
  </si>
  <si>
    <t>_____린샷_2016-06-10_오후_2.48.21.png</t>
  </si>
  <si>
    <t>Compatible with 19mm Systems Swing Away Design 4 x 5.65" Rotating Filter Holders</t>
  </si>
  <si>
    <t>ikan_mb_t04_4x5_65_carbon_fiber_matte_1373915348000_992629.jpg</t>
  </si>
  <si>
    <t>Suitable for all SONY α7 series cameras, with spaces in the rig that allow access to all buttons and areas of control.</t>
  </si>
  <si>
    <t>A7siiCage_nohandle_34highfrontright_legacy-1024x577.jpg</t>
  </si>
  <si>
    <t>For lenses up to 165mm Swing-Away 19mm Rod Mount 3 Trays Support 6.6 x 6.6" Filters</t>
  </si>
  <si>
    <t>ikan_mb_t06_6x6_carbon_fiber_matte_1434987364000_992654.jpg</t>
  </si>
  <si>
    <t>For 15mm Rod Support Systems Adjustable Tension Control Anodized Aluminum Alloy Construction</t>
  </si>
  <si>
    <t>1374076886000_IMG_326901.jpg</t>
  </si>
  <si>
    <t>81IWBNIO1hL._SL1500_.jpg</t>
  </si>
  <si>
    <t>Tokina_atx116prodxc_ii_AT_X_116_PRO_DX_II_1356626765000_882235.jpg</t>
  </si>
  <si>
    <t>impact_sbf_b_25_saddle_sandbag_25lb_1456501515000_1161035.jpg</t>
  </si>
  <si>
    <t>For all those times when you're just not tall enough. These wooden boxes have a thousand different uses.</t>
  </si>
  <si>
    <t>6cc562830750c2d650ad5351eac77452.jpg</t>
  </si>
  <si>
    <t>CameraAccessories-Green_(1).png</t>
  </si>
  <si>
    <t>Neutral Density Filter</t>
  </si>
  <si>
    <t>Graduated Neutral Density Filter</t>
  </si>
  <si>
    <t>Infrared Neutral Density Filter</t>
  </si>
  <si>
    <t>IRND Filter</t>
  </si>
  <si>
    <t>Rota-Pola Tray with Circular Polarizer</t>
  </si>
  <si>
    <t>Polarising Filter</t>
  </si>
  <si>
    <t>Split-Field Diopter Lens</t>
  </si>
  <si>
    <t>Boom Poles (boompole) function as a way to allow Boom Operators maneuverability and control over where their microphones are pointed (and what sound is recorded).</t>
  </si>
  <si>
    <t>Cavision_SGP535R_SGP535R_5_Section_Mixed_Fiber_1246029442000_627961.jpg</t>
  </si>
  <si>
    <t>15 foot xlr cable</t>
  </si>
  <si>
    <t>25 foot xlr cable</t>
  </si>
  <si>
    <t>50 foot xlr cable</t>
  </si>
  <si>
    <t>Audio-Green.png</t>
  </si>
  <si>
    <t>Lighting-Green.png</t>
  </si>
  <si>
    <t>GripElectric-Green_(1).png</t>
  </si>
  <si>
    <t>Pony Clamp. Small A Clamp. #1 Clamp. Many names for a great all purpose clamp.</t>
  </si>
  <si>
    <t>1467036321000_1261389.jpg</t>
  </si>
  <si>
    <t>Pony Clamp. Medium A Clamp. #2 Clamp. Many names for a great all purpose clamp.</t>
  </si>
  <si>
    <t>1467036321000_1261390.jpg</t>
  </si>
  <si>
    <t>Pony Clamp. Large A Clamp. #3 Clamp. Many names for a great all purpose clamp.</t>
  </si>
  <si>
    <t>1467036321000_1261391.jpg</t>
  </si>
  <si>
    <t>A.k.a Polecat</t>
  </si>
  <si>
    <t>download_(10)-1.jpg</t>
  </si>
  <si>
    <t>aka Stinger, Edison</t>
  </si>
  <si>
    <t>download_(13)-1.jpg</t>
  </si>
  <si>
    <t>C Stands. One of G&amp;E department's most versatile tools: mount lights, shape light, or use it for a variety of other functions.</t>
  </si>
  <si>
    <t>Matthews_756140_Century_C_Turtle_Base_1478268398000_112099.jpg</t>
  </si>
  <si>
    <t>100mm bowl</t>
  </si>
  <si>
    <t>21267.jpg</t>
  </si>
  <si>
    <t>Screw on filter for 77mm lens</t>
  </si>
  <si>
    <t>Canon_2602A001_77mm_UV_Protector_Filter_763705.jpg</t>
  </si>
  <si>
    <t>Schneider_68013144_Circular_True_Polarizing_Filter_4_1494528383000_398948.jpg</t>
  </si>
  <si>
    <t>Power splitter from Anton Bauer source.</t>
  </si>
  <si>
    <t>shape_shape_sdsc_d_tap_splitter_cable_1487609133000_1319328.jpg</t>
  </si>
  <si>
    <t>4x4chroszielmattebox.jpg</t>
  </si>
  <si>
    <t>1336581755000_849882.jpg</t>
  </si>
  <si>
    <t>Screen_Shot_2017-09-26_at_11.47.03_AM.png</t>
  </si>
  <si>
    <t>Need longer arms to get those perfect selfies? Look no further!</t>
  </si>
  <si>
    <t>Selfie_Stick__81851.1437676471.500.750.jpg</t>
  </si>
  <si>
    <t>Fits 82mm front filter threads</t>
  </si>
  <si>
    <t>formatt_hitech_fc82girnd_9g_firecrest_82mm_graduated_nd_plus_1414681563000_1090062.jpg</t>
  </si>
  <si>
    <t>sony_qdg128e_j_128gb_xqd_g_e_memory_card_1466791583000_1261721-1.jpg</t>
  </si>
  <si>
    <t>sandisk_sdcfxps_128g_a46_128gb_extreme_pro_compact_1414594211000_1000364.jpg</t>
  </si>
  <si>
    <t>sandisk_sdsdxxg_064g_gn4in_extremepro_sdhc_64gb_1474467675000_1282965.jpg</t>
  </si>
  <si>
    <t>sandisk_sdsquni_256g_an6ma_256gb_ultra_uhs_i_microsdxc_1468856872000_1265042.jpg</t>
  </si>
  <si>
    <t>V Lock Battery</t>
  </si>
  <si>
    <t>img_6878_800px.png</t>
  </si>
  <si>
    <t>anton_bauer_8475_0128_lp4_quad_v_mount_battery_1113017.jpg</t>
  </si>
  <si>
    <t>3 stud Gold Mount</t>
  </si>
  <si>
    <t>1479657604000_IMG_711173.jpg</t>
  </si>
  <si>
    <t>4 x 5 Filter</t>
  </si>
  <si>
    <t>Tiffen_45WBPM5_4X5_Warm_Black_Pro_Mist_1246475854000_104545.jpg</t>
  </si>
  <si>
    <t>pearstone_sdi_1025_25_bnc_to_bnc_1385498680000_884245.jpg</t>
  </si>
  <si>
    <t xml:space="preserve">telescopes from 46 - 83" boom supports up to 15.4 lb
</t>
  </si>
  <si>
    <t>Avenger_D600_D600_Mini_Boom_3_8_1232871360000_3599.jpg</t>
  </si>
  <si>
    <t>bespeco_sh12ne_microphone_boom_stand_1466106323000_1259509.jpg</t>
  </si>
  <si>
    <t>Delta_98705C_Gray_Card_4_1232672324000_231564-1.jpg</t>
  </si>
  <si>
    <t>FP2001L.jpg</t>
  </si>
  <si>
    <t>Take stills the old fashioned way with this 35mm still camera.</t>
  </si>
  <si>
    <t>0593ce200050b43e8ad3781d0cbd0b1e--pentax-camera-mm-camera.jpg</t>
  </si>
  <si>
    <t>schneider_68_121138_138mm_true_cut_680_ir_1475700386000_1278269.jpg</t>
  </si>
  <si>
    <t>Use with lighting fixtures to hang these and diffuse light easily. aka Chinese Lantern, paper lantern</t>
  </si>
  <si>
    <t>download_(14).jpg</t>
  </si>
  <si>
    <t>Hi Hat too high for you? Then give the low hat a try.</t>
  </si>
  <si>
    <t>21268.jpg</t>
  </si>
  <si>
    <t>bkge13.jpg</t>
  </si>
  <si>
    <t>Even in the digital age, this tool for measuring light is still a useful one on set.</t>
  </si>
  <si>
    <t>For when you need every tool on your hip.</t>
  </si>
  <si>
    <t>Power your Sony Cameras with the NP-FW50.</t>
  </si>
  <si>
    <t>Sony_NPFW50_NP_FW50_Lithium_Ion_Rechargeable_Battery_1430343942000_712854-1.jpg</t>
  </si>
  <si>
    <t>Hoya_calp49uv_49mm_Alpha_UV_Filter_1353079301000_900334.jpg</t>
  </si>
  <si>
    <t>Hoya_anxt67uv_67mm_NXT_UV_Haze_1353079301000_900281.jpg</t>
  </si>
  <si>
    <t>hoya_xhd3_72uv_72mm_hd3_uv_filter_1439869972000_1177597.jpg</t>
  </si>
  <si>
    <t>1406059598000_143073.jpg</t>
  </si>
  <si>
    <t>k4000_3-light-kit_img_1735_k4000_front_angle_600px_2_3.png</t>
  </si>
  <si>
    <t>The K4000S SE Bi-Color Studio Panel light sports 200 daylight balanced LEDs and 200 tungsten balanced LEDs, allowing for seamless transition of white balance between 5600K to 3200K.</t>
  </si>
  <si>
    <t>k4000s_se_bi-w-text_3_kit.jpg</t>
  </si>
  <si>
    <t>_____린샷_2016-06-10_오후_2.16.40.png</t>
  </si>
  <si>
    <t>Voigtlander_BA175M_Nokton_17_5mm_f_0_95_Lens_1334853360000_855215.jpg</t>
  </si>
  <si>
    <t>voigtlander_ba259m2_nokton_25mm_f_0_95_type_1398691302000_1044065.jpg</t>
  </si>
  <si>
    <t>vt4295lc43.jpg</t>
  </si>
  <si>
    <t>wooden_camera_wc_182600_director_s_monitor_cage_1414418747000_1076971.jpg</t>
  </si>
  <si>
    <t>wooden_camera_wc_203700_shoulder_rig_v2_mid_1142039.jpg</t>
  </si>
  <si>
    <t>17856.jpg</t>
  </si>
  <si>
    <t>16185.jpg</t>
  </si>
  <si>
    <t>6975.jpg</t>
  </si>
  <si>
    <t>12588.jpg</t>
  </si>
  <si>
    <t>14265.jpg</t>
  </si>
  <si>
    <t>13137.jpg</t>
  </si>
  <si>
    <t>4244.jpg</t>
  </si>
  <si>
    <t>16185-1.jpg</t>
  </si>
  <si>
    <t>watson_b_4205_np_f770_lithium_ion_battery_pack_1366897267000_835998.jpg</t>
  </si>
  <si>
    <t>watson_d_4203_duo_lcd_charger_for_1386189679000_836481.jpg</t>
  </si>
  <si>
    <t>watson_universal_charger_with_assorted_1386866895000_985701.jpg</t>
  </si>
  <si>
    <t>atombat003.jpg</t>
  </si>
  <si>
    <t>watson_d_3410_duo_lcd_charger_for_1386191922000_837243.jpg</t>
  </si>
  <si>
    <t>download-2.jpg</t>
  </si>
  <si>
    <t>Analog_Way_CTX8022_CTX_8022_CentriX_8x2_Mixer_1233119477000_504018.jpg</t>
  </si>
  <si>
    <t>ops300-mixers-seamless-switchers-front-picture-photo.jpg</t>
  </si>
  <si>
    <t>__35-2.jpg</t>
  </si>
  <si>
    <t>ofd802-seamless-switchers-picture-front.jpg</t>
  </si>
  <si>
    <t>11-133-212-Z03.jpg</t>
  </si>
  <si>
    <t>When you're shooting with a DSLR, there's no reason to sacrifice quality in glass or housing. This solid wide lens from Zeiss has standard housing that works great with follow focus systems, and the 14 blades inside it produce a smooth bokeh on a modest budget. And because of the flexibility of the swappable mounts, this one isn't just a step up for DSLRs, but a fine choice for cinema cameras as well.</t>
  </si>
  <si>
    <t>zeiss-CP2-400w-400h.jpg</t>
  </si>
  <si>
    <t>When you're shooting with a DSLR, there's no reason to sacrifice quality in glass or housing. This solid 28mm lens from Zeiss has standard housing that works great with follow focus systems, and the 14 blades inside it produce a smooth bokeh on a modest budget. And because of the flexibility of the swappable mounts, this one isn't just a step up for DSLRs, but a fine choice for cinema cameras as well.</t>
  </si>
  <si>
    <t>zeiss_CP2_28mm.jpg</t>
  </si>
  <si>
    <t>When you're shooting with a DSLR, there's no reason to sacrifice quality in glass or housing. This solid 35mm lens from Zeiss has standard housing that works great with follow focus systems, and the 14 blades inside it produce a smooth bokeh on a modest budget. And because of the flexibility of the swappable mounts, this one isn't just a step up for DSLRs, but a fine choice for cinema cameras as well.</t>
  </si>
  <si>
    <t>zeiss_35mm_ss_1.jpg</t>
  </si>
  <si>
    <t>When you're shooting with a DSLR, there's no reason to sacrifice quality in glass or housing. This solid 50mm lens from Zeiss has standard housing that works great with follow focus systems, and the 14 blades inside it produce a smooth bokeh on a modest budget. And because of the flexibility of the swappable mounts, this one isn't just a step up for DSLRs, but a fine choice for cinema cameras as well.</t>
  </si>
  <si>
    <t>zeiss_CP2_50mm.jpg</t>
  </si>
  <si>
    <t>When you're shooting with a DSLR, there's no reason to sacrifice quality in glass or housing. This solid 85mm lens from Zeiss has standard housing that works great with follow focus systems, and the 14 blades inside it produce a smooth bokeh on a modest budget. And because of the flexibility of the swappable mounts, this one isn't just a step up for DSLRs, but a fine choice for cinema cameras as well.</t>
  </si>
  <si>
    <t>zeiss_CP2_85mm.jpg</t>
  </si>
  <si>
    <t>This zoom lens was made to fit 16mm film cameras like the SR3, but with the popularity of Super 16mm sensors in today's cameras, this lens has found new life! Want to elevate the images you're getting with your digital cameras by using some classic glass? With a zoom from 11-110, this one is perfect for shooting documentary footage with any PL mount adaptable Super 16mm sensor camera like the F55, F5, or the BlackMagic!</t>
  </si>
  <si>
    <t>11-110-arri-1024x682.jpg</t>
  </si>
  <si>
    <t>ARRI_Ultra_Prime_12.jpg</t>
  </si>
  <si>
    <t>ARRI_Ultra_Prime_14.jpg</t>
  </si>
  <si>
    <t>When you're shooting with a DSLR, there's no reason to sacrifice quality in glass or housing. This solid 25mm lens from Zeiss has standard housing that works great with follow focus systems, and it produces a smooth bokeh on a modest budget. And because of the flexibility of the swappable mounts, this one isn't just a step up for DSLRs, but a fine choice for cinema cameras as well.</t>
  </si>
  <si>
    <t>zeiss_cp2_25.jpg</t>
  </si>
  <si>
    <t>When you're shooting with a DSLR, there's no reason to sacrifice quality in glass or housing. This solid 135mm lens from Zeiss has standard housing that works great with follow focus systems, and the 14 blades inside it produce a smooth bokeh on a modest budget. And because of the flexibility of the swappable mounts, this one isn't just a step up for DSLRs, but a fine choice for cinema cameras as well.</t>
  </si>
  <si>
    <t>Zeiss_1982_018_Compact_Prime_CP_2_135mm_T2_1_1335878702000_857800.jpg</t>
  </si>
  <si>
    <t>When you're shooting with a DSLR, there's no reason to sacrifice quality in glass or housing. This solid 15mm lens from Zeiss has standard housing that works great with follow focus systems, and the 14 blades inside it produce a smooth bokeh on a modest budget. And because of the flexibility of the swappable mounts, this one isn't just a step up for DSLRs, but a fine choice for cinema cameras as well.</t>
  </si>
  <si>
    <t>cp2_15.jpg</t>
  </si>
  <si>
    <t>When you're shooting with a DSLR, there's no reason to sacrifice quality in glass or housing. This solid 100mm lens from Zeiss has standard housing that works great with follow focus systems, and the 14 blades inside it produce a smooth bokeh on a modest budget. And because of the flexibility of the swappable mounts, this one isn't just a step up for DSLRs, but a fine choice for cinema cameras as well.</t>
  </si>
  <si>
    <t>zicp2100mpl.jpg</t>
  </si>
  <si>
    <t>When you're shooting with a DSLR, there's no reason to sacrifice quality in glass or housing. This solid 21mm lens from Zeiss has standard housing that works great with follow focus systems, and it produces a smooth bokeh on a modest budget. And because of the flexibility of the swappable mounts, this one isn't just a step up for DSLRs, but a fine choice for cinema cameras as well.</t>
  </si>
  <si>
    <t>zeiss_21mm.jpg</t>
  </si>
  <si>
    <t>cp2_kit.jpg</t>
  </si>
  <si>
    <t>gl_optics_10317_zeiss_contax_super_speed_1454609130000_1221943.jpg</t>
  </si>
  <si>
    <t>Prime Lens Set</t>
  </si>
  <si>
    <t>G.L Optics Contax Super Speeds</t>
  </si>
  <si>
    <t>When you're shooting with a DSLR, there's no reason to sacrifice quality in glass or housing. The Super Speed series gives you the incredibly fast t1.5 to work with. This solid 85mm lens from Zeiss has standard housing that works great with follow focus systems, and the 14 blades inside it produce a smooth bokeh on a modest budget. And because of the flexibility of the swappable mounts, this one isn't just a step up for DSLRs, but a fine choice for cinema cameras as well.</t>
  </si>
  <si>
    <t>1413919268000_857814.jpg</t>
  </si>
  <si>
    <t>When you're shooting with a DSLR, there's no reason to sacrifice quality in glass or housing. The Super Speed series gives you the incredibly fast t1.5 to work with. This solid 50mm lens from Zeiss has standard housing that works great with follow focus systems, and the 14 blades inside it produce a smooth bokeh on a modest budget. And because of the flexibility of the swappable mounts, this one isn't just a step up for DSLRs, but a fine choice for cinema cameras as wel</t>
  </si>
  <si>
    <t>Zeiss_1956_597_Compact_Prime_CP_2_50mm_T1_5_1335971450000_857797.jpg</t>
  </si>
  <si>
    <t>When you're shooting with a DSLR, there's no reason to sacrifice quality in glass or housing. The Super Speed series gives you the incredibly fast t1.5 to work with. This solid 35mm lens from Zeiss has standard housing that works great with follow focus systems, and the 14 blades inside it produce a smooth bokeh on a modest budget. And because of the flexibility of the swappable mounts, this one isn't just a step up for DSLRs, but a fine choice for cinema cameras as well.</t>
  </si>
  <si>
    <t>1462391339000_857796.jpg</t>
  </si>
  <si>
    <t>Zeiss-Super-Speed-MKII-18mm-Lens.jpg</t>
  </si>
  <si>
    <t>Zeiss-Super-Speed-MKII-25mm-Lens.jpg</t>
  </si>
  <si>
    <t>Zeiss-Super-Speed-MKII-35mm-Lens.jpg</t>
  </si>
  <si>
    <t>Zeiss-Super-Speed-MKII-50mm-Lens.jpg</t>
  </si>
  <si>
    <t>Zeiss-Super-Speed-MKII-65mm-Lens.jpg</t>
  </si>
  <si>
    <t>Zeiss-Super-Speed-MKII-85mm-Lens.jpg</t>
  </si>
  <si>
    <t>The focal length of the ZEISS Planar T* 1,4/50 is equal to the perspective of the human eye. Its fast aperture and exceptional compactness are its outstanding features. This lens produces pleasing portrait style quality at the widest aperture and sharpens considerably beyond f/4 for any general purpose application</t>
  </si>
  <si>
    <t>Zeiss_1677_817_Normal_50mm_f_1_4_ZE_1233273090000_583975.jpg</t>
  </si>
  <si>
    <t>High speed lens for Canon EF mount.</t>
  </si>
  <si>
    <t>Zeiss_1677_838_Telephoto_85mm_f_1_4_ZE_1233273090000_583976.jpg</t>
  </si>
  <si>
    <t>When you're shooting with a DSLR, there's no reason to sacrifice quality in glass or housing. These lenses from Zeiss have standard housing that works great with follow focus systems, and produce a smooth bokeh on a modest budget. And because of the flexibility of the swappable mounts, this one isn't just a step up for DSLRs, but a fine choice for cinema cameras as well.</t>
  </si>
  <si>
    <t>CP2-lenses-2_view.jpg</t>
  </si>
  <si>
    <t>When you're shooting with a DSLR, there's no reason to sacrifice quality in glass or housing. The Superspeed series gives you the incredibly fast t1.5 to work with. These lenses from Zeiss have standard housing that works great with follow focus systems, and produce a smooth bokeh on a modest budget. And because of the flexibility of the swappable mounts, this one isn't just a step up for DSLRs, but a fine choice for cinema cameras as well.</t>
  </si>
  <si>
    <t>CP2-lenses-2_view-1.jpg</t>
  </si>
  <si>
    <t>Canon EF Mount Lens/Full-Frame Format Aperture Range: f/2 to f/22 One Anomalous Partial Dispersion Element Floating Elements Design Carl Zeiss T* Anti-Reflective Coating Manual Focus Design Engraved Depth of Field/Distance Scales All-Metal Lens Barrel Rounded 9-Blade Diaphragm Supports DSLR's Electronic Interface</t>
  </si>
  <si>
    <t>Zeiss_1762_850_Distagon_35mm_T_1257516992000_658553.jpg</t>
  </si>
  <si>
    <t>For Canon EF Mount Cameras Ultra-Wide Angle Coverage (99°) Zeiss T* Anti-Reflective Coating Superior Color Correction</t>
  </si>
  <si>
    <t>Zeiss_1762_827_Distagon_T_18mm_f_3_5_1515519958000_655185.jpg</t>
  </si>
  <si>
    <t>zeiss_2112_846_35mm_f_1_4_black_lens_1412019342000_1081652.jpg</t>
  </si>
  <si>
    <t>E-Mount Lens/Full-Frame Format Aperture Range: f/1.4 to 16 One AA &amp; Three Aspherical Elements Zeiss T* Anti-Reflective Coating Direct Drive Super Sonic Wave AF Motor AF/MF Switch; Internal Focus Physical Aperture Ring; De-Click Switch Dust- &amp; Moisture-Resistant Construction Nine-Blade Circular Diaphragm</t>
  </si>
  <si>
    <t>1425440738000_1126137.jpg</t>
  </si>
  <si>
    <t>For Analog &amp; Digital SLR Cameras Medium Wide Angle Lens Manual Focus High Performance Fast f/2.0 Aperture ZE Lens Mount (Canon EF Mount SLRs) Compact (Only 2.7" Long)</t>
  </si>
  <si>
    <t>1488908119000_655186.jpg</t>
  </si>
  <si>
    <t>F Mount Lens/FX Format Aperture Range: f/1.4 to f/16 Apochromatic, Distagon Optical Design 8 Anomalous Partial Dispersion Elements 2 Aspherical Elements Floating Elements System Zeiss T* Anti-Reflective Coating Internal Focus; Manual Focus Design All-Metal Barrel, Yellow Scale Markings</t>
  </si>
  <si>
    <t>1444853314000_1190732.jpg</t>
  </si>
  <si>
    <t>For Nikon F Mount DSLR Cameras Optimized for Full-Frame Camera Sensors f/1.4 - f/16 Aperture Range Zeiss T* Anti-Reflective Lens Coating Floating Elements Design All-Metal Lens Housing Manual Focus, 20" Close Focus Distance 77mm Filter Thread Highly Visible Yellow Scale Markings</t>
  </si>
  <si>
    <t>1380953367000_1007600.jpg</t>
  </si>
  <si>
    <t>F Mount Lens/FX Format Aperture Range: f/1.4 to f/16 One Aspherical Element Six Anomalous Partial Dispersion Elements Apochromatic, Planar Optical Design Floating Element System Zeiss T* Anti-Reflective Coating Internal Focus; Manual Focus Design All-Metal Barrel, Yellow Scale Markings Rounded Nine-Blade Diaphragm</t>
  </si>
  <si>
    <t>1416523564000_1077282.jpg</t>
  </si>
  <si>
    <t>EF Mount Lens/Full-Frame Format Aperture Range: f/1.4 to f/16 7 Anomalous Partial Dispersion Elements Complex Planar Optical Design Floating Elements System Zeiss T* Anti-Reflective Coating Manual Focus Design Anodized Metal Barrel, Rubber Focus Ring Weather-Sealed Construction</t>
  </si>
  <si>
    <t>1419282357000_1077281.jpg</t>
  </si>
  <si>
    <t>For Canon EF Mount DSLR Cameras Optimized for Full-Frame Camera Sensors f/1.4 - f/16 Aperture Range Zeiss T* Anti-Reflective Lens Coating Floating Elements Design All-Metal Lens Housing Manual Focus, 20" Close Focus Distance 77mm Filter Thread Highly Visible Yellow Scale Markings</t>
  </si>
  <si>
    <t>1380953367000_1007599.jpg</t>
  </si>
  <si>
    <t>EF Mount Lens/Full-Frame Format Aperture Range: f/1.4 to f/16 Apochromatic, Distagon Optical Design 8 Anomalous Partial Dispersion Elements 2 Aspherical Elements Floating Elements System Zeiss T* Anti-Reflective Coating Internal Focus; Manual Focus Design All-Metal Barrel, Yellow Scale Markings</t>
  </si>
  <si>
    <t>1444854171000_1190733.jpg</t>
  </si>
  <si>
    <t>For Canon EF Mount EOS DSLR Cameras Wide Angle Lens Exceptional Color Control</t>
  </si>
  <si>
    <t>1256158988000_655184.jpg</t>
  </si>
  <si>
    <t>F Mount Lens/FX Format Aperture Range: f/2.8 to f/22 4 Anomalous Partial Dispersion Elements Distagon Optical Design Floating Elements System Zeiss T* Anti-Reflective Coating Manual Focus Design Manual Aperture Ring Can Be De-Clicked Anodized Metal Barrel, Rubber Focus Ring Weather-Sealed Construction</t>
  </si>
  <si>
    <t>zeiss_2096_548_milvus_2_8_21_zf_2_lens_1441889553000_1185208.jpg</t>
  </si>
  <si>
    <t>EF Mount Lens/Full-Frame Format Aperture Range: f/2.8 to f/22 4 Anomalous Partial Dispersion Elements Distagon Optical Design Floating Elements System Zeiss T* Anti-Reflective Coating Manual Focus Design Anodized Metal Barrel, Rubber Focus Ring Weather-Sealed Construction</t>
  </si>
  <si>
    <t>1441889553000_1185201.jpg</t>
  </si>
  <si>
    <t>EF Mount Lens/Full-Frame Format Aperture Range: f/2 to f/22 1 Anomalous Partial Dispersion Element Distagon Optical Design Floating Elements System Zeiss T* Anti-Reflective Coating Manual Focus Design Anodized Metal Barrel, Rubber Focus Ring Weather-Sealed Construction</t>
  </si>
  <si>
    <t>1441889553000_1185202.jpg</t>
  </si>
  <si>
    <t>EF Mount Lens/Full-Frame Format Aperture Range: f/1.4 to f/16 4 Anomalous Partial Dispersion Elements 1 Aspherical Element Distagon Optical Design Zeiss T* Anti-Reflective Coating Manual Focus Design Anodized Metal Barrel, Rubber Focus Ring Weather-Sealed Construction</t>
  </si>
  <si>
    <t>1441889553000_1185204.jpg</t>
  </si>
  <si>
    <t>F Mount Lens/FX Format Aperture Range: f/1.4 to f/16 4 Anomalous Partial Dispersion Elements 1 Aspherical Element Distagon Optical Design Zeiss T* Anti-Reflective Coating Manual Focus Design Manual Aperture Ring Can Be De-Clicked Anodized Metal Barrel, Rubber Focus Ring Weather-Sealed Construction</t>
  </si>
  <si>
    <t>1441889553000_1185210.jpg</t>
  </si>
  <si>
    <t>F Mount Lens/FX Format Aperture Range: f/2 to f/22 Planar Optical Design Floating Elements System Zeiss T* Anti-Reflective Coating Manual Focus Design, Macro Markings Manual Aperture Ring Can Be De-Clicked Anodized Metal Barrel, Rubber Focus Ring Weather-Sealed Construction</t>
  </si>
  <si>
    <t>1441889553000_1185213.jpg</t>
  </si>
  <si>
    <t>EF Mount Lens/Full-Frame Format Aperture Range: f/2 to f/22 Planar Optical Design Floating Elements System Zeiss T* Anti-Reflective Coating Manual Focus Design, Macro Markings Anodized Metal Barrel, Rubber Focus Ring Weather-Sealed Construction</t>
  </si>
  <si>
    <t>1441889553000_1185206.jpg</t>
  </si>
  <si>
    <t>EF Mount Lens/Full-Frame Format Aperture Range: f/2 to f/22 2 Anomalous Partial Dispersion Elements Planar Optical Design Floating Elements System Zeiss T* Anti-Reflective Coating Manual Focus Design, Macro Markings Anodized Metal Barrel, Rubber Focus Ring Weather-Sealed Construction</t>
  </si>
  <si>
    <t>1441889553000_1185207.jpg</t>
  </si>
  <si>
    <t>F Mount Lens/FX Format Aperture Range: f/2 to f/22 2 Anomalous Partial Dispersion Elements Planar Optical Design Floating Elements System Zeiss T* Anti-Reflective Coating Manual Focus Design, Macro Markings Manual Aperture Ring Can Be De-Clicked Anodized Metal Barrel, Rubber Focus Ring Weather-Sealed Construction</t>
  </si>
  <si>
    <t>1441889553000_1185216.jpg</t>
  </si>
  <si>
    <t>1441889553000_1185205.jpg</t>
  </si>
  <si>
    <t>F Mount Lens/FX Format Aperture Range: f/1.4 to f/16 7 Anomalous Partial Dispersion Elements Complex Planar Optical Design Floating Elements System Zeiss T* Anti-Reflective Coating Manual Focus Design Manual Aperture Ring Can Be De-Clicked Anodized Metal Barrel, Rubber Focus Ring Weather-Sealed Construction</t>
  </si>
  <si>
    <t>1441889553000_1185211.jpg</t>
  </si>
  <si>
    <t>For Nikon F Mount Cameras Works with Both SLRs and DSLRs Superior Optical Construction 6.7" (0.17m) Close Focusing Distance Electronic Coupling 58mm Filter Size Manual Focusing</t>
  </si>
  <si>
    <t>1488907248000_714810.jpg</t>
  </si>
  <si>
    <t>Recording audio on the go has never been simpler. The Zoom H4n fits a variety of circumstances, that's what's made it one of the most popular recorders on the market. Whether you're shooting a live concert, an interview for a corporate shoot, or your next short film, this recorder has what you need with its dual XLR inputs and dual on board X/Y unidirectional microphones.</t>
  </si>
  <si>
    <t>leadImage_h4n_0.jpg</t>
  </si>
  <si>
    <t>Zoom's foray into field recorders offers 8 lockable XLR/TRS combo jacks that provide +75 dB maximum input gain. The trim is not adjustable during recording, but the faders do allow a 12db gain adjustment while rolling.</t>
  </si>
  <si>
    <t>zoom_f8_field_recorder_with_1441046156000_1140426.jpg</t>
  </si>
  <si>
    <t>zoom_h5_handy_recorder_1391009804000_1026852.jpg</t>
  </si>
  <si>
    <t>Zoom_H1_H1_Ultra_Portable_Digital_Audio_1282079121000_699403.jpg</t>
  </si>
  <si>
    <t>H2N-xlarge.jpg</t>
  </si>
  <si>
    <t>The big brother of the popular Zoom H4n, this recorder allows for 4 XLR inputs and the opportunity to record each as a discrete track. Also equipped with onboard mic options, it has the capability to record up to 6 tracks. Great for when discrete tracks and light mixing are needed.</t>
  </si>
  <si>
    <t>1370368647000_IMG_320074.jpg</t>
  </si>
  <si>
    <t>With new and improved pre-amps as well as locking XLR inputs, this is the revised version of the much beloved Zoom H4N. This audio recorder fits a variety of circumstances, that's what's made it one of the most popular recorders on the market. Whether you're shooting a live concert, an interview for a corporate shoot, or your next short film, this recorder has what you need with its dual XLR inputs and dual on board X/Y unidirectional microphones.</t>
  </si>
  <si>
    <t>zoom_h4npro_4_channel_handy_recorder_1464752813000_1253811.jpg</t>
  </si>
  <si>
    <t>This audio recorder features 360° recording up to 24-bit/96kHz. It fits in the palm of your hand and can record high quality WAV and MP3 files to SD cards.</t>
  </si>
  <si>
    <t>41d_D0232hL.jpg</t>
  </si>
  <si>
    <t>zacuto_z_vct_vct_universal_baseplate_1415651743000_1093249.jpg</t>
  </si>
  <si>
    <t>z-evf-1f.jpg</t>
  </si>
  <si>
    <t>Zacuto_Z_SPD_Shoulder_Pad_without_Rods_1333565497000_853290.jpg</t>
  </si>
  <si>
    <t>Zacuto_Z_DSLR_GSS_Z_DSLR_GSS_DSLR_Gunstock_Shooter_1244133118000_625108.jpg</t>
  </si>
  <si>
    <t>1388439348000_868992.jpg</t>
  </si>
  <si>
    <t>z-c300zr.jpg</t>
  </si>
  <si>
    <t>zacuto_z_ghd_gratical_hd_micro_oled_1416843412000_1097499.jpg</t>
  </si>
  <si>
    <t>zacuto_z_find_c3_c300_500_z_finder_1_8x_1393369828000_1032909.jpg</t>
  </si>
  <si>
    <t>Zacuto_z_mfsb32_Z_Finder_3_2_Mount_Frame_1353520638000_896719.jpg</t>
  </si>
  <si>
    <t>Zacuto_Z_FIND_PRO2_Z_Finder_Pro_2_5x_1388439348000_682687.jpg</t>
  </si>
  <si>
    <t>Zacuto_Z_SES_STINGER_FOR_SCARLET_EPIC_CAMERA_1334610359000_853287.jpg</t>
  </si>
  <si>
    <t>zacuto_z_trn_tornado_1381170267000_1007083.jpg</t>
  </si>
  <si>
    <t>Zacuto_Z_ZG_16_Z_ZG_16_ZipGear_1277308191000_588985.jpg</t>
  </si>
  <si>
    <t>zacuto_z_drv_z_drive_1380742673000_1007082.jpg</t>
  </si>
  <si>
    <t>zacuto_z_qrdv_qr_dovetail_1370613996000_982199.jpg</t>
  </si>
  <si>
    <t>zacuto_z_c100er_c100_evf_recoil_1415378181000_1093238.jpg</t>
  </si>
  <si>
    <t>zacuto_z_m_dslrb_mini_dslr_baseplate_1380639141000_1004534.jpg</t>
  </si>
  <si>
    <t>Mounts to 15mm Light Weight Support Rods 1/4"-20 &amp; 3/8"-16 Mounting Holes</t>
  </si>
  <si>
    <t>zacuto_z_zwp2_zwiss_plate_v2_1367946457000_970696.jpg</t>
  </si>
  <si>
    <t>What started as an indiegogo funding page is now a 6K 360 VR camera capable of livestreaming and stitching.</t>
  </si>
  <si>
    <t>d0b789_829bb7446dc54540b400390669e673b3-mv2.png</t>
  </si>
  <si>
    <t>zed_face_1024x1024_c74f6a55-ba83-475f-bc4e-0ad229f8e0e5_1024x1024.jpg</t>
  </si>
</sst>
</file>

<file path=xl/styles.xml><?xml version="1.0" encoding="utf-8"?>
<styleSheet xmlns="http://schemas.openxmlformats.org/spreadsheetml/2006/main">
  <fonts count="9">
    <font>
      <sz val="12"/>
      <color theme="1"/>
      <name val="Calibri"/>
      <family val="2"/>
      <scheme val="minor"/>
    </font>
    <font>
      <b/>
      <sz val="18"/>
      <color theme="1"/>
      <name val="Calibri"/>
      <family val="2"/>
      <scheme val="minor"/>
    </font>
    <font>
      <b/>
      <u/>
      <sz val="12"/>
      <color theme="1"/>
      <name val="Calibri"/>
      <family val="2"/>
      <scheme val="minor"/>
    </font>
    <font>
      <sz val="12"/>
      <color rgb="FF333333"/>
      <name val="Arial"/>
      <family val="2"/>
    </font>
    <font>
      <sz val="10.199999999999999"/>
      <color theme="1"/>
      <name val="Arial"/>
      <family val="2"/>
    </font>
    <font>
      <u/>
      <sz val="12"/>
      <color theme="10"/>
      <name val="Calibri"/>
      <family val="2"/>
      <scheme val="minor"/>
    </font>
    <font>
      <u/>
      <sz val="12"/>
      <color theme="11"/>
      <name val="Calibri"/>
      <family val="2"/>
      <scheme val="minor"/>
    </font>
    <font>
      <b/>
      <sz val="12"/>
      <color theme="1"/>
      <name val="Calibri"/>
      <family val="2"/>
      <scheme val="minor"/>
    </font>
    <font>
      <sz val="12"/>
      <color rgb="FF00000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92D050"/>
        <bgColor indexed="64"/>
      </patternFill>
    </fill>
  </fills>
  <borders count="1">
    <border>
      <left/>
      <right/>
      <top/>
      <bottom/>
      <diagonal/>
    </border>
  </borders>
  <cellStyleXfs count="2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cellStyleXfs>
  <cellXfs count="18">
    <xf numFmtId="0" fontId="0" fillId="0" borderId="0" xfId="0"/>
    <xf numFmtId="0" fontId="1" fillId="0" borderId="0" xfId="0" applyFont="1"/>
    <xf numFmtId="0" fontId="2" fillId="0" borderId="0" xfId="0" applyFont="1"/>
    <xf numFmtId="0" fontId="3" fillId="0" borderId="0" xfId="0" applyFont="1"/>
    <xf numFmtId="0" fontId="0" fillId="0" borderId="0" xfId="0" applyAlignment="1">
      <alignment wrapText="1"/>
    </xf>
    <xf numFmtId="0" fontId="2" fillId="0" borderId="0" xfId="0" applyFont="1" applyAlignment="1">
      <alignment wrapText="1"/>
    </xf>
    <xf numFmtId="0" fontId="3" fillId="0" borderId="0" xfId="0" applyFont="1" applyAlignment="1">
      <alignment wrapText="1"/>
    </xf>
    <xf numFmtId="0" fontId="0" fillId="2" borderId="0" xfId="0" applyFill="1"/>
    <xf numFmtId="0" fontId="2" fillId="2" borderId="0" xfId="0" applyFont="1" applyFill="1"/>
    <xf numFmtId="0" fontId="0" fillId="0" borderId="0" xfId="0" applyFont="1"/>
    <xf numFmtId="0" fontId="4" fillId="0" borderId="0" xfId="0" applyFont="1"/>
    <xf numFmtId="0" fontId="0" fillId="3" borderId="0" xfId="0" applyFill="1"/>
    <xf numFmtId="0" fontId="0" fillId="4" borderId="0" xfId="0" applyFill="1"/>
    <xf numFmtId="0" fontId="7" fillId="0" borderId="0" xfId="0" applyFont="1"/>
    <xf numFmtId="0" fontId="0" fillId="0" borderId="0" xfId="0" applyAlignment="1">
      <alignment horizontal="left"/>
    </xf>
    <xf numFmtId="0" fontId="8" fillId="0" borderId="0" xfId="0" applyFont="1"/>
    <xf numFmtId="0" fontId="0" fillId="0" borderId="0" xfId="0" applyFill="1"/>
    <xf numFmtId="0" fontId="0" fillId="0" borderId="0" xfId="0" applyFill="1" applyAlignment="1">
      <alignment wrapText="1"/>
    </xf>
  </cellXfs>
  <cellStyles count="25">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Normal"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dimension ref="A1:M1118"/>
  <sheetViews>
    <sheetView tabSelected="1" zoomScale="120" zoomScaleNormal="120" zoomScalePageLayoutView="90" workbookViewId="0">
      <pane ySplit="1" topLeftCell="A1099" activePane="bottomLeft" state="frozen"/>
      <selection pane="bottomLeft" activeCell="L12" sqref="L12"/>
    </sheetView>
  </sheetViews>
  <sheetFormatPr defaultColWidth="11" defaultRowHeight="15.75"/>
  <cols>
    <col min="2" max="2" width="12.375" customWidth="1"/>
    <col min="3" max="3" width="27" customWidth="1"/>
    <col min="4" max="4" width="105.5" style="4" customWidth="1"/>
    <col min="5" max="5" width="17.375" style="7" bestFit="1" customWidth="1"/>
    <col min="6" max="6" width="23.625" bestFit="1" customWidth="1"/>
    <col min="7" max="7" width="19.875" bestFit="1" customWidth="1"/>
    <col min="8" max="8" width="22.375" style="7" bestFit="1" customWidth="1"/>
    <col min="9" max="9" width="29.125" bestFit="1" customWidth="1"/>
    <col min="10" max="10" width="29.125" customWidth="1"/>
    <col min="11" max="11" width="70.375" style="7" bestFit="1" customWidth="1"/>
    <col min="12" max="12" width="26.125" bestFit="1" customWidth="1"/>
    <col min="13" max="13" width="30.375" customWidth="1"/>
  </cols>
  <sheetData>
    <row r="1" spans="1:13">
      <c r="B1" s="2" t="s">
        <v>1</v>
      </c>
      <c r="C1" s="2" t="s">
        <v>2</v>
      </c>
      <c r="D1" s="5" t="s">
        <v>3</v>
      </c>
      <c r="E1" s="8" t="s">
        <v>4</v>
      </c>
      <c r="F1" s="2" t="s">
        <v>5</v>
      </c>
      <c r="G1" s="2" t="s">
        <v>6</v>
      </c>
      <c r="H1" s="8" t="s">
        <v>12</v>
      </c>
      <c r="I1" s="2" t="s">
        <v>14</v>
      </c>
      <c r="J1" s="2" t="s">
        <v>13</v>
      </c>
      <c r="K1" s="8" t="s">
        <v>8</v>
      </c>
      <c r="L1" s="2" t="s">
        <v>53</v>
      </c>
      <c r="M1" s="2" t="s">
        <v>54</v>
      </c>
    </row>
    <row r="2" spans="1:13" ht="23.25">
      <c r="A2" s="1" t="s">
        <v>0</v>
      </c>
    </row>
    <row r="3" spans="1:13">
      <c r="B3" t="s">
        <v>9</v>
      </c>
      <c r="C3" t="s">
        <v>100</v>
      </c>
      <c r="D3" s="3" t="s">
        <v>99</v>
      </c>
      <c r="E3" s="7">
        <v>70</v>
      </c>
      <c r="F3">
        <f t="shared" ref="F3:F45" si="0">E3*1.4</f>
        <v>98</v>
      </c>
      <c r="G3">
        <f t="shared" ref="G3:G45" si="1">F3*1.1</f>
        <v>107.80000000000001</v>
      </c>
      <c r="I3">
        <f t="shared" ref="I3:I45" si="2">H3*1.4</f>
        <v>0</v>
      </c>
      <c r="J3">
        <f t="shared" ref="J3:J45" si="3">I3*1.1</f>
        <v>0</v>
      </c>
      <c r="K3" s="7" t="s">
        <v>215</v>
      </c>
      <c r="L3" t="s">
        <v>190</v>
      </c>
      <c r="M3" t="s">
        <v>201</v>
      </c>
    </row>
    <row r="4" spans="1:13">
      <c r="B4" t="s">
        <v>9</v>
      </c>
      <c r="C4" t="s">
        <v>39</v>
      </c>
      <c r="D4" s="3" t="s">
        <v>38</v>
      </c>
      <c r="E4" s="7">
        <v>17</v>
      </c>
      <c r="F4">
        <f t="shared" si="0"/>
        <v>23.799999999999997</v>
      </c>
      <c r="G4">
        <f t="shared" si="1"/>
        <v>26.18</v>
      </c>
      <c r="I4">
        <f t="shared" si="2"/>
        <v>0</v>
      </c>
      <c r="J4">
        <f t="shared" si="3"/>
        <v>0</v>
      </c>
      <c r="K4" s="7" t="s">
        <v>40</v>
      </c>
      <c r="L4" s="9" t="s">
        <v>197</v>
      </c>
      <c r="M4" t="s">
        <v>198</v>
      </c>
    </row>
    <row r="5" spans="1:13">
      <c r="B5" t="s">
        <v>9</v>
      </c>
      <c r="C5" t="s">
        <v>33</v>
      </c>
      <c r="D5" s="3" t="s">
        <v>35</v>
      </c>
      <c r="E5" s="7">
        <v>300</v>
      </c>
      <c r="F5">
        <f t="shared" si="0"/>
        <v>420</v>
      </c>
      <c r="G5">
        <f t="shared" si="1"/>
        <v>462.00000000000006</v>
      </c>
      <c r="H5" s="7">
        <v>4000</v>
      </c>
      <c r="I5">
        <f t="shared" si="2"/>
        <v>5600</v>
      </c>
      <c r="J5">
        <f t="shared" si="3"/>
        <v>6160.0000000000009</v>
      </c>
      <c r="K5" s="7" t="s">
        <v>36</v>
      </c>
      <c r="L5" t="s">
        <v>192</v>
      </c>
      <c r="M5" t="s">
        <v>193</v>
      </c>
    </row>
    <row r="6" spans="1:13">
      <c r="B6" t="s">
        <v>9</v>
      </c>
      <c r="C6" t="s">
        <v>32</v>
      </c>
      <c r="E6" s="7">
        <v>200</v>
      </c>
      <c r="F6">
        <f t="shared" si="0"/>
        <v>280</v>
      </c>
      <c r="G6">
        <f t="shared" si="1"/>
        <v>308</v>
      </c>
      <c r="I6">
        <f t="shared" si="2"/>
        <v>0</v>
      </c>
      <c r="J6">
        <f t="shared" si="3"/>
        <v>0</v>
      </c>
      <c r="K6" s="7" t="s">
        <v>34</v>
      </c>
      <c r="L6" t="s">
        <v>192</v>
      </c>
      <c r="M6" t="s">
        <v>193</v>
      </c>
    </row>
    <row r="7" spans="1:13">
      <c r="B7" t="s">
        <v>9</v>
      </c>
      <c r="C7" t="s">
        <v>89</v>
      </c>
      <c r="D7" s="3" t="s">
        <v>90</v>
      </c>
      <c r="F7">
        <f t="shared" si="0"/>
        <v>0</v>
      </c>
      <c r="G7">
        <f t="shared" si="1"/>
        <v>0</v>
      </c>
      <c r="H7" s="7">
        <v>10000</v>
      </c>
      <c r="I7">
        <f t="shared" si="2"/>
        <v>14000</v>
      </c>
      <c r="J7">
        <f t="shared" si="3"/>
        <v>15400.000000000002</v>
      </c>
      <c r="K7" s="7" t="s">
        <v>91</v>
      </c>
      <c r="L7" s="9" t="s">
        <v>192</v>
      </c>
      <c r="M7" t="s">
        <v>193</v>
      </c>
    </row>
    <row r="8" spans="1:13">
      <c r="B8" t="s">
        <v>9</v>
      </c>
      <c r="C8" t="s">
        <v>74</v>
      </c>
      <c r="D8" s="3" t="s">
        <v>75</v>
      </c>
      <c r="E8" s="7">
        <v>250</v>
      </c>
      <c r="F8">
        <f t="shared" si="0"/>
        <v>350</v>
      </c>
      <c r="G8">
        <f t="shared" si="1"/>
        <v>385.00000000000006</v>
      </c>
      <c r="I8">
        <f t="shared" si="2"/>
        <v>0</v>
      </c>
      <c r="J8">
        <f t="shared" si="3"/>
        <v>0</v>
      </c>
      <c r="K8" s="7" t="s">
        <v>76</v>
      </c>
      <c r="L8" s="9" t="s">
        <v>192</v>
      </c>
      <c r="M8" t="s">
        <v>193</v>
      </c>
    </row>
    <row r="9" spans="1:13">
      <c r="B9" t="s">
        <v>9</v>
      </c>
      <c r="C9" t="s">
        <v>30</v>
      </c>
      <c r="E9" s="7">
        <v>400</v>
      </c>
      <c r="F9">
        <f t="shared" si="0"/>
        <v>560</v>
      </c>
      <c r="G9">
        <f t="shared" si="1"/>
        <v>616</v>
      </c>
      <c r="H9" s="7">
        <v>10001</v>
      </c>
      <c r="I9">
        <f t="shared" si="2"/>
        <v>14001.4</v>
      </c>
      <c r="J9">
        <f t="shared" si="3"/>
        <v>15401.54</v>
      </c>
      <c r="K9" s="7" t="s">
        <v>31</v>
      </c>
      <c r="L9" t="s">
        <v>192</v>
      </c>
      <c r="M9" t="s">
        <v>193</v>
      </c>
    </row>
    <row r="10" spans="1:13">
      <c r="B10" t="s">
        <v>9</v>
      </c>
      <c r="C10" t="s">
        <v>101</v>
      </c>
      <c r="E10" s="7">
        <v>50</v>
      </c>
      <c r="F10">
        <f t="shared" si="0"/>
        <v>70</v>
      </c>
      <c r="G10">
        <f t="shared" si="1"/>
        <v>77</v>
      </c>
      <c r="H10" s="7">
        <v>73500</v>
      </c>
      <c r="I10">
        <f t="shared" si="2"/>
        <v>102900</v>
      </c>
      <c r="J10">
        <f t="shared" si="3"/>
        <v>113190.00000000001</v>
      </c>
      <c r="K10" s="7" t="s">
        <v>216</v>
      </c>
      <c r="L10" s="9" t="s">
        <v>190</v>
      </c>
      <c r="M10" t="s">
        <v>201</v>
      </c>
    </row>
    <row r="11" spans="1:13" ht="15" customHeight="1">
      <c r="B11" t="s">
        <v>9</v>
      </c>
      <c r="C11" t="s">
        <v>10</v>
      </c>
      <c r="D11" s="6" t="s">
        <v>11</v>
      </c>
      <c r="E11" s="7">
        <v>100</v>
      </c>
      <c r="F11">
        <f t="shared" si="0"/>
        <v>140</v>
      </c>
      <c r="G11">
        <f t="shared" si="1"/>
        <v>154</v>
      </c>
      <c r="H11" s="7">
        <v>3500</v>
      </c>
      <c r="I11">
        <f t="shared" si="2"/>
        <v>4900</v>
      </c>
      <c r="J11">
        <f t="shared" si="3"/>
        <v>5390</v>
      </c>
      <c r="K11" s="7" t="s">
        <v>7</v>
      </c>
      <c r="L11" t="s">
        <v>190</v>
      </c>
      <c r="M11" t="s">
        <v>191</v>
      </c>
    </row>
    <row r="12" spans="1:13">
      <c r="B12" t="s">
        <v>9</v>
      </c>
      <c r="C12" t="s">
        <v>15</v>
      </c>
      <c r="D12" s="3" t="s">
        <v>18</v>
      </c>
      <c r="E12" s="7">
        <v>600</v>
      </c>
      <c r="F12">
        <f t="shared" si="0"/>
        <v>840</v>
      </c>
      <c r="G12">
        <f t="shared" si="1"/>
        <v>924.00000000000011</v>
      </c>
      <c r="H12" s="7">
        <v>58683</v>
      </c>
      <c r="I12">
        <f t="shared" si="2"/>
        <v>82156.2</v>
      </c>
      <c r="J12">
        <f t="shared" si="3"/>
        <v>90371.82</v>
      </c>
      <c r="K12" s="7" t="s">
        <v>19</v>
      </c>
      <c r="L12" t="s">
        <v>192</v>
      </c>
      <c r="M12" t="s">
        <v>194</v>
      </c>
    </row>
    <row r="13" spans="1:13">
      <c r="B13" t="s">
        <v>9</v>
      </c>
      <c r="C13" t="s">
        <v>47</v>
      </c>
      <c r="D13" s="3" t="s">
        <v>48</v>
      </c>
      <c r="E13" s="7">
        <v>900</v>
      </c>
      <c r="F13">
        <f t="shared" si="0"/>
        <v>1260</v>
      </c>
      <c r="G13">
        <f t="shared" si="1"/>
        <v>1386</v>
      </c>
      <c r="H13" s="7">
        <v>36000</v>
      </c>
      <c r="I13">
        <f t="shared" si="2"/>
        <v>50400</v>
      </c>
      <c r="J13">
        <f t="shared" si="3"/>
        <v>55440.000000000007</v>
      </c>
      <c r="K13" s="7" t="s">
        <v>49</v>
      </c>
      <c r="L13" s="9" t="s">
        <v>192</v>
      </c>
      <c r="M13" t="s">
        <v>194</v>
      </c>
    </row>
    <row r="14" spans="1:13">
      <c r="B14" t="s">
        <v>9</v>
      </c>
      <c r="C14" t="s">
        <v>16</v>
      </c>
      <c r="D14" s="3" t="s">
        <v>24</v>
      </c>
      <c r="E14" s="7">
        <v>450</v>
      </c>
      <c r="F14">
        <f t="shared" si="0"/>
        <v>630</v>
      </c>
      <c r="G14">
        <f t="shared" si="1"/>
        <v>693</v>
      </c>
      <c r="H14" s="7">
        <v>89696</v>
      </c>
      <c r="I14">
        <f t="shared" si="2"/>
        <v>125574.39999999999</v>
      </c>
      <c r="J14">
        <f t="shared" si="3"/>
        <v>138131.84</v>
      </c>
      <c r="K14" s="7" t="s">
        <v>25</v>
      </c>
      <c r="L14" t="s">
        <v>192</v>
      </c>
      <c r="M14" t="s">
        <v>194</v>
      </c>
    </row>
    <row r="15" spans="1:13">
      <c r="B15" t="s">
        <v>9</v>
      </c>
      <c r="C15" t="s">
        <v>115</v>
      </c>
      <c r="D15" s="3" t="s">
        <v>116</v>
      </c>
      <c r="E15" s="7">
        <v>650</v>
      </c>
      <c r="F15">
        <f t="shared" si="0"/>
        <v>909.99999999999989</v>
      </c>
      <c r="G15">
        <f t="shared" si="1"/>
        <v>1001</v>
      </c>
      <c r="H15" s="7">
        <v>50000</v>
      </c>
      <c r="I15">
        <f t="shared" si="2"/>
        <v>70000</v>
      </c>
      <c r="J15">
        <f t="shared" si="3"/>
        <v>77000</v>
      </c>
      <c r="K15" s="7" t="s">
        <v>117</v>
      </c>
      <c r="L15" t="s">
        <v>192</v>
      </c>
      <c r="M15" t="s">
        <v>194</v>
      </c>
    </row>
    <row r="16" spans="1:13">
      <c r="B16" t="s">
        <v>9</v>
      </c>
      <c r="C16" t="s">
        <v>108</v>
      </c>
      <c r="D16" s="3" t="s">
        <v>109</v>
      </c>
      <c r="E16" s="7">
        <v>1000</v>
      </c>
      <c r="F16">
        <f t="shared" si="0"/>
        <v>1400</v>
      </c>
      <c r="G16">
        <f t="shared" si="1"/>
        <v>1540.0000000000002</v>
      </c>
      <c r="H16" s="7">
        <v>67000</v>
      </c>
      <c r="I16">
        <f t="shared" si="2"/>
        <v>93800</v>
      </c>
      <c r="J16">
        <f t="shared" si="3"/>
        <v>103180.00000000001</v>
      </c>
      <c r="K16" s="7" t="s">
        <v>110</v>
      </c>
      <c r="L16" t="s">
        <v>192</v>
      </c>
      <c r="M16" t="s">
        <v>194</v>
      </c>
    </row>
    <row r="17" spans="2:13">
      <c r="B17" t="s">
        <v>9</v>
      </c>
      <c r="C17" t="s">
        <v>111</v>
      </c>
      <c r="D17" s="3" t="s">
        <v>112</v>
      </c>
      <c r="F17">
        <f t="shared" si="0"/>
        <v>0</v>
      </c>
      <c r="G17">
        <f t="shared" si="1"/>
        <v>0</v>
      </c>
      <c r="H17" s="7">
        <v>75000</v>
      </c>
      <c r="I17">
        <f t="shared" si="2"/>
        <v>105000</v>
      </c>
      <c r="J17">
        <f t="shared" si="3"/>
        <v>115500.00000000001</v>
      </c>
      <c r="K17" s="7" t="s">
        <v>110</v>
      </c>
      <c r="L17" t="s">
        <v>192</v>
      </c>
      <c r="M17" t="s">
        <v>194</v>
      </c>
    </row>
    <row r="18" spans="2:13">
      <c r="B18" t="s">
        <v>9</v>
      </c>
      <c r="C18" t="s">
        <v>113</v>
      </c>
      <c r="D18" s="3" t="s">
        <v>114</v>
      </c>
      <c r="F18">
        <f t="shared" si="0"/>
        <v>0</v>
      </c>
      <c r="G18">
        <f t="shared" si="1"/>
        <v>0</v>
      </c>
      <c r="H18" s="7">
        <v>95000</v>
      </c>
      <c r="I18">
        <f t="shared" si="2"/>
        <v>133000</v>
      </c>
      <c r="J18">
        <f t="shared" si="3"/>
        <v>146300</v>
      </c>
      <c r="K18" s="7" t="s">
        <v>110</v>
      </c>
      <c r="L18" t="s">
        <v>192</v>
      </c>
      <c r="M18" t="s">
        <v>194</v>
      </c>
    </row>
    <row r="19" spans="2:13">
      <c r="B19" t="s">
        <v>9</v>
      </c>
      <c r="C19" t="s">
        <v>44</v>
      </c>
      <c r="D19" s="3" t="s">
        <v>45</v>
      </c>
      <c r="E19" s="7">
        <v>1500</v>
      </c>
      <c r="F19">
        <f t="shared" si="0"/>
        <v>2100</v>
      </c>
      <c r="G19">
        <f t="shared" si="1"/>
        <v>2310</v>
      </c>
      <c r="H19" s="7">
        <v>70940</v>
      </c>
      <c r="I19">
        <f t="shared" si="2"/>
        <v>99316</v>
      </c>
      <c r="J19">
        <f t="shared" si="3"/>
        <v>109247.6</v>
      </c>
      <c r="K19" s="7" t="s">
        <v>46</v>
      </c>
      <c r="L19" s="9" t="s">
        <v>192</v>
      </c>
      <c r="M19" t="s">
        <v>194</v>
      </c>
    </row>
    <row r="20" spans="2:13">
      <c r="B20" t="s">
        <v>9</v>
      </c>
      <c r="C20" t="s">
        <v>118</v>
      </c>
      <c r="D20" s="3" t="s">
        <v>119</v>
      </c>
      <c r="E20" s="7">
        <v>1300</v>
      </c>
      <c r="F20">
        <f t="shared" si="0"/>
        <v>1819.9999999999998</v>
      </c>
      <c r="G20">
        <f t="shared" si="1"/>
        <v>2002</v>
      </c>
      <c r="H20" s="7">
        <v>66500</v>
      </c>
      <c r="I20">
        <f t="shared" si="2"/>
        <v>93100</v>
      </c>
      <c r="J20">
        <f t="shared" si="3"/>
        <v>102410.00000000001</v>
      </c>
      <c r="K20" s="7" t="s">
        <v>120</v>
      </c>
      <c r="L20" t="s">
        <v>192</v>
      </c>
      <c r="M20" t="s">
        <v>194</v>
      </c>
    </row>
    <row r="21" spans="2:13">
      <c r="B21" t="s">
        <v>9</v>
      </c>
      <c r="C21" t="s">
        <v>23</v>
      </c>
      <c r="D21" s="3" t="s">
        <v>20</v>
      </c>
      <c r="E21" s="7">
        <v>885</v>
      </c>
      <c r="F21">
        <f t="shared" si="0"/>
        <v>1239</v>
      </c>
      <c r="G21">
        <f t="shared" si="1"/>
        <v>1362.9</v>
      </c>
      <c r="H21" s="7">
        <v>39000</v>
      </c>
      <c r="I21">
        <f t="shared" si="2"/>
        <v>54600</v>
      </c>
      <c r="J21">
        <f t="shared" si="3"/>
        <v>60060.000000000007</v>
      </c>
      <c r="K21" s="7" t="s">
        <v>21</v>
      </c>
      <c r="L21" t="s">
        <v>192</v>
      </c>
      <c r="M21" t="s">
        <v>194</v>
      </c>
    </row>
    <row r="22" spans="2:13">
      <c r="B22" t="s">
        <v>9</v>
      </c>
      <c r="C22" t="s">
        <v>17</v>
      </c>
      <c r="D22" s="3" t="s">
        <v>22</v>
      </c>
      <c r="E22" s="7">
        <v>375</v>
      </c>
      <c r="F22">
        <f t="shared" si="0"/>
        <v>525</v>
      </c>
      <c r="G22">
        <f t="shared" si="1"/>
        <v>577.5</v>
      </c>
      <c r="H22" s="7">
        <v>12000</v>
      </c>
      <c r="I22">
        <f t="shared" si="2"/>
        <v>16800</v>
      </c>
      <c r="J22">
        <f t="shared" si="3"/>
        <v>18480</v>
      </c>
      <c r="K22" s="7" t="s">
        <v>26</v>
      </c>
      <c r="L22" t="s">
        <v>192</v>
      </c>
      <c r="M22" t="s">
        <v>193</v>
      </c>
    </row>
    <row r="23" spans="2:13">
      <c r="B23" t="s">
        <v>9</v>
      </c>
      <c r="C23" t="s">
        <v>42</v>
      </c>
      <c r="E23" s="7">
        <v>25</v>
      </c>
      <c r="F23">
        <f t="shared" si="0"/>
        <v>35</v>
      </c>
      <c r="G23">
        <f t="shared" si="1"/>
        <v>38.5</v>
      </c>
      <c r="H23" s="7">
        <v>459</v>
      </c>
      <c r="I23">
        <f t="shared" si="2"/>
        <v>642.59999999999991</v>
      </c>
      <c r="J23">
        <f t="shared" si="3"/>
        <v>706.86</v>
      </c>
      <c r="K23" s="7" t="s">
        <v>43</v>
      </c>
      <c r="L23" s="9" t="s">
        <v>190</v>
      </c>
      <c r="M23" t="s">
        <v>191</v>
      </c>
    </row>
    <row r="24" spans="2:13">
      <c r="B24" t="s">
        <v>9</v>
      </c>
      <c r="C24" t="s">
        <v>94</v>
      </c>
      <c r="E24" s="7">
        <v>18</v>
      </c>
      <c r="F24">
        <f t="shared" si="0"/>
        <v>25.2</v>
      </c>
      <c r="G24">
        <f t="shared" si="1"/>
        <v>27.720000000000002</v>
      </c>
      <c r="I24">
        <f t="shared" si="2"/>
        <v>0</v>
      </c>
      <c r="J24">
        <f t="shared" si="3"/>
        <v>0</v>
      </c>
      <c r="L24" s="9" t="s">
        <v>190</v>
      </c>
      <c r="M24" t="s">
        <v>204</v>
      </c>
    </row>
    <row r="25" spans="2:13">
      <c r="B25" t="s">
        <v>9</v>
      </c>
      <c r="C25" t="s">
        <v>77</v>
      </c>
      <c r="E25" s="7">
        <v>125</v>
      </c>
      <c r="F25">
        <f t="shared" si="0"/>
        <v>175</v>
      </c>
      <c r="G25">
        <f t="shared" si="1"/>
        <v>192.50000000000003</v>
      </c>
      <c r="H25" s="7">
        <v>1800</v>
      </c>
      <c r="I25">
        <f t="shared" si="2"/>
        <v>2520</v>
      </c>
      <c r="J25">
        <f t="shared" si="3"/>
        <v>2772</v>
      </c>
      <c r="K25" s="7" t="s">
        <v>78</v>
      </c>
      <c r="L25" s="9" t="s">
        <v>197</v>
      </c>
      <c r="M25" t="s">
        <v>202</v>
      </c>
    </row>
    <row r="26" spans="2:13">
      <c r="B26" t="s">
        <v>9</v>
      </c>
      <c r="C26" t="s">
        <v>105</v>
      </c>
      <c r="D26" s="3" t="s">
        <v>106</v>
      </c>
      <c r="E26" s="7">
        <v>45</v>
      </c>
      <c r="F26">
        <f t="shared" si="0"/>
        <v>62.999999999999993</v>
      </c>
      <c r="G26">
        <f t="shared" si="1"/>
        <v>69.3</v>
      </c>
      <c r="H26" s="7">
        <v>1500</v>
      </c>
      <c r="I26">
        <f t="shared" si="2"/>
        <v>2100</v>
      </c>
      <c r="J26">
        <f t="shared" si="3"/>
        <v>2310</v>
      </c>
      <c r="K26" s="7" t="s">
        <v>107</v>
      </c>
      <c r="L26" s="9" t="s">
        <v>197</v>
      </c>
      <c r="M26" t="s">
        <v>200</v>
      </c>
    </row>
    <row r="27" spans="2:13">
      <c r="B27" t="s">
        <v>9</v>
      </c>
      <c r="C27" t="s">
        <v>102</v>
      </c>
      <c r="D27" s="3" t="s">
        <v>103</v>
      </c>
      <c r="E27" s="7">
        <v>35</v>
      </c>
      <c r="F27">
        <f t="shared" si="0"/>
        <v>49</v>
      </c>
      <c r="G27">
        <f t="shared" si="1"/>
        <v>53.900000000000006</v>
      </c>
      <c r="H27" s="7">
        <v>1600</v>
      </c>
      <c r="I27">
        <f t="shared" si="2"/>
        <v>2240</v>
      </c>
      <c r="J27">
        <f t="shared" si="3"/>
        <v>2464</v>
      </c>
      <c r="K27" s="7" t="s">
        <v>104</v>
      </c>
      <c r="L27" s="9" t="s">
        <v>197</v>
      </c>
      <c r="M27" t="s">
        <v>200</v>
      </c>
    </row>
    <row r="28" spans="2:13">
      <c r="B28" t="s">
        <v>9</v>
      </c>
      <c r="C28" t="s">
        <v>59</v>
      </c>
      <c r="D28" s="3" t="s">
        <v>60</v>
      </c>
      <c r="E28" s="7">
        <v>50</v>
      </c>
      <c r="F28">
        <f t="shared" si="0"/>
        <v>70</v>
      </c>
      <c r="G28">
        <f t="shared" si="1"/>
        <v>77</v>
      </c>
      <c r="H28" s="7">
        <v>3300</v>
      </c>
      <c r="I28">
        <f t="shared" si="2"/>
        <v>4620</v>
      </c>
      <c r="J28">
        <f t="shared" si="3"/>
        <v>5082</v>
      </c>
      <c r="K28" s="7" t="s">
        <v>61</v>
      </c>
      <c r="L28" s="9" t="s">
        <v>197</v>
      </c>
      <c r="M28" t="s">
        <v>200</v>
      </c>
    </row>
    <row r="29" spans="2:13">
      <c r="B29" t="s">
        <v>9</v>
      </c>
      <c r="C29" t="s">
        <v>63</v>
      </c>
      <c r="D29" s="3" t="s">
        <v>62</v>
      </c>
      <c r="E29" s="7">
        <v>49</v>
      </c>
      <c r="F29">
        <f t="shared" si="0"/>
        <v>68.599999999999994</v>
      </c>
      <c r="G29">
        <f t="shared" si="1"/>
        <v>75.459999999999994</v>
      </c>
      <c r="H29" s="7">
        <v>3500</v>
      </c>
      <c r="I29">
        <f t="shared" si="2"/>
        <v>4900</v>
      </c>
      <c r="J29">
        <f t="shared" si="3"/>
        <v>5390</v>
      </c>
      <c r="K29" s="7" t="s">
        <v>64</v>
      </c>
      <c r="L29" s="9" t="s">
        <v>197</v>
      </c>
      <c r="M29" t="s">
        <v>200</v>
      </c>
    </row>
    <row r="30" spans="2:13">
      <c r="B30" t="s">
        <v>9</v>
      </c>
      <c r="C30" t="s">
        <v>27</v>
      </c>
      <c r="D30" s="3" t="s">
        <v>28</v>
      </c>
      <c r="E30" s="7">
        <v>79</v>
      </c>
      <c r="F30">
        <f t="shared" si="0"/>
        <v>110.6</v>
      </c>
      <c r="G30">
        <f t="shared" si="1"/>
        <v>121.66</v>
      </c>
      <c r="H30" s="7">
        <v>2924.95</v>
      </c>
      <c r="I30">
        <f t="shared" si="2"/>
        <v>4094.9299999999994</v>
      </c>
      <c r="J30">
        <f t="shared" si="3"/>
        <v>4504.4229999999998</v>
      </c>
      <c r="K30" s="7" t="s">
        <v>29</v>
      </c>
      <c r="L30" t="s">
        <v>190</v>
      </c>
      <c r="M30" t="s">
        <v>191</v>
      </c>
    </row>
    <row r="31" spans="2:13">
      <c r="B31" t="s">
        <v>9</v>
      </c>
      <c r="C31" t="s">
        <v>68</v>
      </c>
      <c r="D31" s="3" t="s">
        <v>69</v>
      </c>
      <c r="E31" s="7">
        <v>39</v>
      </c>
      <c r="F31">
        <f t="shared" si="0"/>
        <v>54.599999999999994</v>
      </c>
      <c r="G31">
        <f t="shared" si="1"/>
        <v>60.059999999999995</v>
      </c>
      <c r="I31">
        <f t="shared" si="2"/>
        <v>0</v>
      </c>
      <c r="J31">
        <f t="shared" si="3"/>
        <v>0</v>
      </c>
      <c r="K31" s="7" t="s">
        <v>70</v>
      </c>
      <c r="L31" s="9" t="s">
        <v>190</v>
      </c>
      <c r="M31" t="s">
        <v>191</v>
      </c>
    </row>
    <row r="32" spans="2:13">
      <c r="B32" t="s">
        <v>9</v>
      </c>
      <c r="C32" t="s">
        <v>56</v>
      </c>
      <c r="E32" s="7">
        <v>150</v>
      </c>
      <c r="F32">
        <f t="shared" si="0"/>
        <v>210</v>
      </c>
      <c r="G32">
        <f t="shared" si="1"/>
        <v>231.00000000000003</v>
      </c>
      <c r="H32" s="7">
        <v>3640</v>
      </c>
      <c r="I32">
        <f t="shared" si="2"/>
        <v>5096</v>
      </c>
      <c r="J32">
        <f t="shared" si="3"/>
        <v>5605.6</v>
      </c>
      <c r="K32" s="7" t="s">
        <v>55</v>
      </c>
      <c r="L32" s="9" t="s">
        <v>190</v>
      </c>
      <c r="M32" t="s">
        <v>191</v>
      </c>
    </row>
    <row r="33" spans="2:13">
      <c r="B33" t="s">
        <v>9</v>
      </c>
      <c r="C33" t="s">
        <v>57</v>
      </c>
      <c r="E33" s="7">
        <v>55</v>
      </c>
      <c r="F33">
        <f t="shared" si="0"/>
        <v>77</v>
      </c>
      <c r="G33">
        <f t="shared" si="1"/>
        <v>84.7</v>
      </c>
      <c r="H33" s="7">
        <v>3500</v>
      </c>
      <c r="I33">
        <f t="shared" si="2"/>
        <v>4900</v>
      </c>
      <c r="J33">
        <f t="shared" si="3"/>
        <v>5390</v>
      </c>
      <c r="K33" s="7" t="s">
        <v>58</v>
      </c>
      <c r="L33" s="9" t="s">
        <v>197</v>
      </c>
      <c r="M33" t="s">
        <v>199</v>
      </c>
    </row>
    <row r="34" spans="2:13">
      <c r="B34" t="s">
        <v>9</v>
      </c>
      <c r="C34" t="s">
        <v>88</v>
      </c>
      <c r="E34" s="7">
        <v>49</v>
      </c>
      <c r="F34">
        <f t="shared" si="0"/>
        <v>68.599999999999994</v>
      </c>
      <c r="G34">
        <f t="shared" si="1"/>
        <v>75.459999999999994</v>
      </c>
      <c r="H34" s="7">
        <v>2500</v>
      </c>
      <c r="I34">
        <f t="shared" si="2"/>
        <v>3500</v>
      </c>
      <c r="J34">
        <f t="shared" si="3"/>
        <v>3850.0000000000005</v>
      </c>
      <c r="K34" s="7" t="s">
        <v>87</v>
      </c>
      <c r="L34" s="9" t="s">
        <v>197</v>
      </c>
      <c r="M34" t="s">
        <v>199</v>
      </c>
    </row>
    <row r="35" spans="2:13">
      <c r="B35" t="s">
        <v>9</v>
      </c>
      <c r="C35" t="s">
        <v>71</v>
      </c>
      <c r="D35" s="3" t="s">
        <v>72</v>
      </c>
      <c r="E35" s="7">
        <v>200</v>
      </c>
      <c r="F35">
        <f t="shared" si="0"/>
        <v>280</v>
      </c>
      <c r="G35">
        <f t="shared" si="1"/>
        <v>308</v>
      </c>
      <c r="H35" s="7">
        <v>10514</v>
      </c>
      <c r="I35">
        <f t="shared" si="2"/>
        <v>14719.599999999999</v>
      </c>
      <c r="J35">
        <f t="shared" si="3"/>
        <v>16191.56</v>
      </c>
      <c r="K35" s="7" t="s">
        <v>73</v>
      </c>
      <c r="L35" s="9" t="s">
        <v>190</v>
      </c>
      <c r="M35" t="s">
        <v>201</v>
      </c>
    </row>
    <row r="36" spans="2:13">
      <c r="B36" t="s">
        <v>9</v>
      </c>
      <c r="C36" t="s">
        <v>50</v>
      </c>
      <c r="D36" s="3" t="s">
        <v>51</v>
      </c>
      <c r="E36" s="7">
        <v>50</v>
      </c>
      <c r="F36">
        <f t="shared" si="0"/>
        <v>70</v>
      </c>
      <c r="G36">
        <f t="shared" si="1"/>
        <v>77</v>
      </c>
      <c r="I36">
        <f t="shared" si="2"/>
        <v>0</v>
      </c>
      <c r="J36">
        <f t="shared" si="3"/>
        <v>0</v>
      </c>
      <c r="K36" s="7" t="s">
        <v>52</v>
      </c>
      <c r="L36" s="9" t="s">
        <v>197</v>
      </c>
      <c r="M36" t="s">
        <v>199</v>
      </c>
    </row>
    <row r="37" spans="2:13">
      <c r="B37" t="s">
        <v>9</v>
      </c>
      <c r="C37" t="s">
        <v>85</v>
      </c>
      <c r="E37" s="7">
        <v>65</v>
      </c>
      <c r="F37">
        <f t="shared" si="0"/>
        <v>91</v>
      </c>
      <c r="G37">
        <f t="shared" si="1"/>
        <v>100.10000000000001</v>
      </c>
      <c r="H37" s="7">
        <v>7000</v>
      </c>
      <c r="I37">
        <f t="shared" si="2"/>
        <v>9800</v>
      </c>
      <c r="J37">
        <f t="shared" si="3"/>
        <v>10780</v>
      </c>
      <c r="K37" s="7" t="s">
        <v>86</v>
      </c>
      <c r="L37" s="9" t="s">
        <v>197</v>
      </c>
      <c r="M37" t="s">
        <v>199</v>
      </c>
    </row>
    <row r="38" spans="2:13">
      <c r="B38" t="s">
        <v>9</v>
      </c>
      <c r="C38" t="s">
        <v>65</v>
      </c>
      <c r="D38" s="3" t="s">
        <v>66</v>
      </c>
      <c r="E38" s="7">
        <v>35</v>
      </c>
      <c r="F38">
        <f t="shared" si="0"/>
        <v>49</v>
      </c>
      <c r="G38">
        <f t="shared" si="1"/>
        <v>53.900000000000006</v>
      </c>
      <c r="H38" s="7">
        <v>1700</v>
      </c>
      <c r="I38">
        <f t="shared" si="2"/>
        <v>2380</v>
      </c>
      <c r="J38">
        <f t="shared" si="3"/>
        <v>2618</v>
      </c>
      <c r="K38" s="7" t="s">
        <v>67</v>
      </c>
      <c r="L38" s="9" t="s">
        <v>197</v>
      </c>
      <c r="M38" t="s">
        <v>200</v>
      </c>
    </row>
    <row r="39" spans="2:13">
      <c r="B39" t="s">
        <v>9</v>
      </c>
      <c r="C39" t="s">
        <v>37</v>
      </c>
      <c r="E39" s="7">
        <v>200</v>
      </c>
      <c r="F39">
        <f t="shared" si="0"/>
        <v>280</v>
      </c>
      <c r="G39">
        <f t="shared" si="1"/>
        <v>308</v>
      </c>
      <c r="H39" s="7">
        <v>9900</v>
      </c>
      <c r="I39">
        <f t="shared" si="2"/>
        <v>13860</v>
      </c>
      <c r="J39">
        <f t="shared" si="3"/>
        <v>15246.000000000002</v>
      </c>
      <c r="K39" s="7" t="s">
        <v>41</v>
      </c>
      <c r="L39" s="9" t="s">
        <v>195</v>
      </c>
      <c r="M39" t="s">
        <v>196</v>
      </c>
    </row>
    <row r="40" spans="2:13">
      <c r="B40" t="s">
        <v>9</v>
      </c>
      <c r="C40" t="s">
        <v>92</v>
      </c>
      <c r="E40" s="7">
        <v>192</v>
      </c>
      <c r="F40">
        <f t="shared" si="0"/>
        <v>268.79999999999995</v>
      </c>
      <c r="G40">
        <f t="shared" si="1"/>
        <v>295.67999999999995</v>
      </c>
      <c r="H40" s="7">
        <v>5625</v>
      </c>
      <c r="I40">
        <f t="shared" si="2"/>
        <v>7874.9999999999991</v>
      </c>
      <c r="J40">
        <f t="shared" si="3"/>
        <v>8662.5</v>
      </c>
      <c r="K40" s="7" t="s">
        <v>93</v>
      </c>
      <c r="L40" s="9" t="s">
        <v>190</v>
      </c>
      <c r="M40" t="s">
        <v>203</v>
      </c>
    </row>
    <row r="41" spans="2:13">
      <c r="B41" t="s">
        <v>9</v>
      </c>
      <c r="C41" t="s">
        <v>83</v>
      </c>
      <c r="E41" s="7">
        <v>99</v>
      </c>
      <c r="F41">
        <f t="shared" si="0"/>
        <v>138.6</v>
      </c>
      <c r="G41">
        <f t="shared" si="1"/>
        <v>152.46</v>
      </c>
      <c r="H41" s="7">
        <v>6000</v>
      </c>
      <c r="I41">
        <f t="shared" si="2"/>
        <v>8400</v>
      </c>
      <c r="J41">
        <f t="shared" si="3"/>
        <v>9240</v>
      </c>
      <c r="K41" s="7" t="s">
        <v>84</v>
      </c>
      <c r="L41" s="9" t="s">
        <v>197</v>
      </c>
      <c r="M41" t="s">
        <v>199</v>
      </c>
    </row>
    <row r="42" spans="2:13">
      <c r="B42" t="s">
        <v>9</v>
      </c>
      <c r="C42" t="s">
        <v>81</v>
      </c>
      <c r="E42" s="7">
        <v>199</v>
      </c>
      <c r="F42">
        <f t="shared" si="0"/>
        <v>278.59999999999997</v>
      </c>
      <c r="G42">
        <f t="shared" si="1"/>
        <v>306.45999999999998</v>
      </c>
      <c r="H42" s="7">
        <v>10500</v>
      </c>
      <c r="I42">
        <f t="shared" si="2"/>
        <v>14699.999999999998</v>
      </c>
      <c r="J42">
        <f t="shared" si="3"/>
        <v>16170</v>
      </c>
      <c r="K42" s="7" t="s">
        <v>82</v>
      </c>
      <c r="L42" s="9" t="s">
        <v>197</v>
      </c>
      <c r="M42" t="s">
        <v>200</v>
      </c>
    </row>
    <row r="43" spans="2:13">
      <c r="B43" t="s">
        <v>9</v>
      </c>
      <c r="C43" t="s">
        <v>95</v>
      </c>
      <c r="E43" s="7">
        <v>175</v>
      </c>
      <c r="F43">
        <f t="shared" si="0"/>
        <v>244.99999999999997</v>
      </c>
      <c r="G43">
        <f t="shared" si="1"/>
        <v>269.5</v>
      </c>
      <c r="H43" s="7">
        <v>30000</v>
      </c>
      <c r="I43">
        <f t="shared" si="2"/>
        <v>42000</v>
      </c>
      <c r="J43">
        <f t="shared" si="3"/>
        <v>46200.000000000007</v>
      </c>
      <c r="K43" s="7" t="s">
        <v>96</v>
      </c>
      <c r="L43" s="9" t="s">
        <v>205</v>
      </c>
      <c r="M43" t="s">
        <v>206</v>
      </c>
    </row>
    <row r="44" spans="2:13">
      <c r="B44" t="s">
        <v>9</v>
      </c>
      <c r="C44" t="s">
        <v>97</v>
      </c>
      <c r="E44" s="7">
        <v>850</v>
      </c>
      <c r="F44">
        <f t="shared" si="0"/>
        <v>1190</v>
      </c>
      <c r="G44">
        <f t="shared" si="1"/>
        <v>1309</v>
      </c>
      <c r="H44" s="7">
        <v>44200</v>
      </c>
      <c r="I44">
        <f t="shared" si="2"/>
        <v>61879.999999999993</v>
      </c>
      <c r="J44">
        <f t="shared" si="3"/>
        <v>68068</v>
      </c>
      <c r="K44" s="7" t="s">
        <v>98</v>
      </c>
      <c r="L44" s="9" t="s">
        <v>205</v>
      </c>
      <c r="M44" t="s">
        <v>206</v>
      </c>
    </row>
    <row r="45" spans="2:13">
      <c r="B45" t="s">
        <v>9</v>
      </c>
      <c r="C45" t="s">
        <v>79</v>
      </c>
      <c r="E45" s="7">
        <v>250</v>
      </c>
      <c r="F45">
        <f t="shared" si="0"/>
        <v>350</v>
      </c>
      <c r="G45">
        <f t="shared" si="1"/>
        <v>385.00000000000006</v>
      </c>
      <c r="H45" s="7">
        <v>30000</v>
      </c>
      <c r="I45">
        <f t="shared" si="2"/>
        <v>42000</v>
      </c>
      <c r="J45">
        <f t="shared" si="3"/>
        <v>46200.000000000007</v>
      </c>
      <c r="K45" s="7" t="s">
        <v>80</v>
      </c>
      <c r="L45" s="9" t="s">
        <v>197</v>
      </c>
      <c r="M45" t="s">
        <v>200</v>
      </c>
    </row>
    <row r="46" spans="2:13">
      <c r="D46" s="3"/>
    </row>
    <row r="47" spans="2:13">
      <c r="B47" t="s">
        <v>121</v>
      </c>
      <c r="C47" t="s">
        <v>122</v>
      </c>
      <c r="D47" s="3" t="s">
        <v>123</v>
      </c>
      <c r="E47" s="7">
        <v>25</v>
      </c>
      <c r="F47">
        <f t="shared" ref="F47:F65" si="4">E47*1.4</f>
        <v>35</v>
      </c>
      <c r="G47">
        <f t="shared" ref="G47:G65" si="5">F47*1.1</f>
        <v>38.5</v>
      </c>
      <c r="H47" s="7">
        <v>615</v>
      </c>
      <c r="I47">
        <f t="shared" ref="I47:I65" si="6">H47*1.4</f>
        <v>861</v>
      </c>
      <c r="J47">
        <f t="shared" ref="J47:J65" si="7">I47*1.1</f>
        <v>947.1</v>
      </c>
      <c r="K47" s="7" t="s">
        <v>124</v>
      </c>
      <c r="L47" s="9" t="s">
        <v>207</v>
      </c>
      <c r="M47" t="s">
        <v>208</v>
      </c>
    </row>
    <row r="48" spans="2:13">
      <c r="F48">
        <f t="shared" si="4"/>
        <v>0</v>
      </c>
      <c r="G48">
        <f t="shared" si="5"/>
        <v>0</v>
      </c>
      <c r="I48">
        <f t="shared" si="6"/>
        <v>0</v>
      </c>
      <c r="J48">
        <f t="shared" si="7"/>
        <v>0</v>
      </c>
    </row>
    <row r="49" spans="1:13">
      <c r="B49" t="s">
        <v>125</v>
      </c>
      <c r="C49" t="s">
        <v>126</v>
      </c>
      <c r="D49" s="3" t="s">
        <v>127</v>
      </c>
      <c r="E49" s="7">
        <v>35</v>
      </c>
      <c r="F49">
        <f t="shared" ref="F49:F59" si="8">E49*1.4</f>
        <v>49</v>
      </c>
      <c r="G49">
        <f t="shared" ref="G49:G59" si="9">F49*1.1</f>
        <v>53.900000000000006</v>
      </c>
      <c r="H49" s="7">
        <v>295</v>
      </c>
      <c r="I49">
        <f t="shared" ref="I49:I59" si="10">H49*1.4</f>
        <v>413</v>
      </c>
      <c r="J49">
        <f t="shared" ref="J49:J59" si="11">I49*1.1</f>
        <v>454.3</v>
      </c>
      <c r="K49" s="7" t="s">
        <v>128</v>
      </c>
      <c r="L49" s="9" t="s">
        <v>212</v>
      </c>
      <c r="M49" s="9" t="s">
        <v>210</v>
      </c>
    </row>
    <row r="50" spans="1:13">
      <c r="B50" t="s">
        <v>125</v>
      </c>
      <c r="C50" t="s">
        <v>135</v>
      </c>
      <c r="E50" s="7">
        <v>55</v>
      </c>
      <c r="F50">
        <f t="shared" si="8"/>
        <v>77</v>
      </c>
      <c r="G50">
        <f t="shared" si="9"/>
        <v>84.7</v>
      </c>
      <c r="H50" s="7">
        <v>1000</v>
      </c>
      <c r="I50">
        <f t="shared" si="10"/>
        <v>1400</v>
      </c>
      <c r="J50">
        <f t="shared" si="11"/>
        <v>1540.0000000000002</v>
      </c>
      <c r="K50" s="7" t="s">
        <v>136</v>
      </c>
      <c r="L50" s="9" t="s">
        <v>212</v>
      </c>
      <c r="M50" s="9" t="s">
        <v>209</v>
      </c>
    </row>
    <row r="51" spans="1:13">
      <c r="B51" t="s">
        <v>125</v>
      </c>
      <c r="C51" t="s">
        <v>137</v>
      </c>
      <c r="E51" s="7">
        <v>36</v>
      </c>
      <c r="F51">
        <f t="shared" si="8"/>
        <v>50.4</v>
      </c>
      <c r="G51">
        <f t="shared" si="9"/>
        <v>55.440000000000005</v>
      </c>
      <c r="H51" s="7">
        <v>495</v>
      </c>
      <c r="I51">
        <f t="shared" si="10"/>
        <v>693</v>
      </c>
      <c r="J51">
        <f t="shared" si="11"/>
        <v>762.30000000000007</v>
      </c>
      <c r="K51" s="7" t="s">
        <v>138</v>
      </c>
      <c r="L51" s="9" t="s">
        <v>212</v>
      </c>
      <c r="M51" s="9" t="s">
        <v>209</v>
      </c>
    </row>
    <row r="52" spans="1:13">
      <c r="B52" t="s">
        <v>125</v>
      </c>
      <c r="C52" t="s">
        <v>149</v>
      </c>
      <c r="D52" s="3" t="s">
        <v>150</v>
      </c>
      <c r="E52" s="7">
        <v>50</v>
      </c>
      <c r="F52">
        <f t="shared" si="8"/>
        <v>70</v>
      </c>
      <c r="G52">
        <f t="shared" si="9"/>
        <v>77</v>
      </c>
      <c r="H52" s="7">
        <v>795</v>
      </c>
      <c r="I52">
        <f t="shared" si="10"/>
        <v>1113</v>
      </c>
      <c r="J52">
        <f t="shared" si="11"/>
        <v>1224.3000000000002</v>
      </c>
      <c r="K52" s="7" t="s">
        <v>151</v>
      </c>
      <c r="L52" s="9" t="s">
        <v>212</v>
      </c>
      <c r="M52" s="9" t="s">
        <v>209</v>
      </c>
    </row>
    <row r="53" spans="1:13">
      <c r="B53" t="s">
        <v>125</v>
      </c>
      <c r="C53" t="s">
        <v>133</v>
      </c>
      <c r="E53" s="7">
        <v>30</v>
      </c>
      <c r="F53">
        <f t="shared" si="8"/>
        <v>42</v>
      </c>
      <c r="G53">
        <f t="shared" si="9"/>
        <v>46.2</v>
      </c>
      <c r="H53" s="7">
        <v>300</v>
      </c>
      <c r="I53">
        <f t="shared" si="10"/>
        <v>420</v>
      </c>
      <c r="J53">
        <f t="shared" si="11"/>
        <v>462.00000000000006</v>
      </c>
      <c r="K53" s="7" t="s">
        <v>134</v>
      </c>
      <c r="L53" s="9" t="s">
        <v>197</v>
      </c>
      <c r="M53" s="9" t="s">
        <v>211</v>
      </c>
    </row>
    <row r="54" spans="1:13">
      <c r="B54" t="s">
        <v>125</v>
      </c>
      <c r="C54" t="s">
        <v>139</v>
      </c>
      <c r="F54">
        <f t="shared" si="8"/>
        <v>0</v>
      </c>
      <c r="G54">
        <f t="shared" si="9"/>
        <v>0</v>
      </c>
      <c r="H54" s="7">
        <v>400</v>
      </c>
      <c r="I54">
        <f t="shared" si="10"/>
        <v>560</v>
      </c>
      <c r="J54">
        <f t="shared" si="11"/>
        <v>616</v>
      </c>
      <c r="K54" s="7" t="s">
        <v>140</v>
      </c>
      <c r="L54" s="9" t="s">
        <v>197</v>
      </c>
      <c r="M54" s="9" t="s">
        <v>198</v>
      </c>
    </row>
    <row r="55" spans="1:13">
      <c r="B55" t="s">
        <v>125</v>
      </c>
      <c r="C55" t="s">
        <v>129</v>
      </c>
      <c r="F55">
        <f t="shared" si="8"/>
        <v>0</v>
      </c>
      <c r="G55">
        <f t="shared" si="9"/>
        <v>0</v>
      </c>
      <c r="H55" s="7">
        <v>495</v>
      </c>
      <c r="I55">
        <f t="shared" si="10"/>
        <v>693</v>
      </c>
      <c r="J55">
        <f t="shared" si="11"/>
        <v>762.30000000000007</v>
      </c>
      <c r="K55" s="7" t="s">
        <v>130</v>
      </c>
      <c r="L55" s="9" t="s">
        <v>212</v>
      </c>
      <c r="M55" s="9" t="s">
        <v>210</v>
      </c>
    </row>
    <row r="56" spans="1:13">
      <c r="B56" t="s">
        <v>125</v>
      </c>
      <c r="C56" t="s">
        <v>141</v>
      </c>
      <c r="E56" s="7">
        <v>27</v>
      </c>
      <c r="F56">
        <f t="shared" si="8"/>
        <v>37.799999999999997</v>
      </c>
      <c r="G56">
        <f t="shared" si="9"/>
        <v>41.58</v>
      </c>
      <c r="H56" s="7">
        <v>500</v>
      </c>
      <c r="I56">
        <f t="shared" si="10"/>
        <v>700</v>
      </c>
      <c r="J56">
        <f t="shared" si="11"/>
        <v>770.00000000000011</v>
      </c>
      <c r="K56" s="7" t="s">
        <v>142</v>
      </c>
      <c r="L56" s="9" t="s">
        <v>212</v>
      </c>
      <c r="M56" s="9" t="s">
        <v>209</v>
      </c>
    </row>
    <row r="57" spans="1:13">
      <c r="B57" t="s">
        <v>125</v>
      </c>
      <c r="C57" t="s">
        <v>131</v>
      </c>
      <c r="E57" s="7">
        <v>85</v>
      </c>
      <c r="F57">
        <f t="shared" si="8"/>
        <v>118.99999999999999</v>
      </c>
      <c r="G57">
        <f t="shared" si="9"/>
        <v>130.9</v>
      </c>
      <c r="I57">
        <f t="shared" si="10"/>
        <v>0</v>
      </c>
      <c r="J57">
        <f t="shared" si="11"/>
        <v>0</v>
      </c>
      <c r="K57" s="7" t="s">
        <v>132</v>
      </c>
      <c r="L57" s="9" t="s">
        <v>212</v>
      </c>
      <c r="M57" s="9" t="s">
        <v>210</v>
      </c>
    </row>
    <row r="58" spans="1:13">
      <c r="B58" t="s">
        <v>125</v>
      </c>
      <c r="C58" t="s">
        <v>147</v>
      </c>
      <c r="D58" s="3" t="s">
        <v>146</v>
      </c>
      <c r="E58" s="7">
        <v>95</v>
      </c>
      <c r="F58">
        <f t="shared" si="8"/>
        <v>133</v>
      </c>
      <c r="G58">
        <f t="shared" si="9"/>
        <v>146.30000000000001</v>
      </c>
      <c r="H58" s="7">
        <v>995</v>
      </c>
      <c r="I58">
        <f t="shared" si="10"/>
        <v>1393</v>
      </c>
      <c r="J58">
        <f t="shared" si="11"/>
        <v>1532.3000000000002</v>
      </c>
      <c r="K58" s="7" t="s">
        <v>148</v>
      </c>
      <c r="L58" s="9" t="s">
        <v>212</v>
      </c>
      <c r="M58" s="9" t="s">
        <v>209</v>
      </c>
    </row>
    <row r="59" spans="1:13">
      <c r="B59" t="s">
        <v>125</v>
      </c>
      <c r="C59" t="s">
        <v>143</v>
      </c>
      <c r="D59" s="3" t="s">
        <v>144</v>
      </c>
      <c r="E59" s="7">
        <v>99</v>
      </c>
      <c r="F59">
        <f t="shared" si="8"/>
        <v>138.6</v>
      </c>
      <c r="G59">
        <f t="shared" si="9"/>
        <v>152.46</v>
      </c>
      <c r="H59" s="7">
        <v>2500</v>
      </c>
      <c r="I59">
        <f t="shared" si="10"/>
        <v>3500</v>
      </c>
      <c r="J59">
        <f t="shared" si="11"/>
        <v>3850.0000000000005</v>
      </c>
      <c r="K59" s="7" t="s">
        <v>145</v>
      </c>
      <c r="L59" s="9" t="s">
        <v>212</v>
      </c>
      <c r="M59" s="9" t="s">
        <v>209</v>
      </c>
    </row>
    <row r="60" spans="1:13">
      <c r="F60">
        <f t="shared" si="4"/>
        <v>0</v>
      </c>
      <c r="G60">
        <f t="shared" si="5"/>
        <v>0</v>
      </c>
      <c r="I60">
        <f t="shared" si="6"/>
        <v>0</v>
      </c>
      <c r="J60">
        <f t="shared" si="7"/>
        <v>0</v>
      </c>
    </row>
    <row r="61" spans="1:13">
      <c r="A61" t="s">
        <v>1138</v>
      </c>
      <c r="B61" t="s">
        <v>152</v>
      </c>
      <c r="C61" t="s">
        <v>160</v>
      </c>
      <c r="D61" s="3" t="s">
        <v>159</v>
      </c>
      <c r="E61" s="7">
        <v>50</v>
      </c>
      <c r="F61">
        <f>E61*1.4</f>
        <v>70</v>
      </c>
      <c r="G61">
        <f>F61*1.1</f>
        <v>77</v>
      </c>
      <c r="H61" s="7">
        <v>500</v>
      </c>
      <c r="I61">
        <f>H61*1.4</f>
        <v>700</v>
      </c>
      <c r="J61">
        <f>I61*1.1</f>
        <v>770.00000000000011</v>
      </c>
      <c r="K61" s="7" t="s">
        <v>161</v>
      </c>
      <c r="L61" t="s">
        <v>207</v>
      </c>
      <c r="M61" t="s">
        <v>213</v>
      </c>
    </row>
    <row r="62" spans="1:13">
      <c r="B62" t="s">
        <v>152</v>
      </c>
      <c r="C62" t="s">
        <v>162</v>
      </c>
      <c r="E62" s="7">
        <v>100</v>
      </c>
      <c r="F62">
        <f>E62*1.4</f>
        <v>140</v>
      </c>
      <c r="G62">
        <f>F62*1.1</f>
        <v>154</v>
      </c>
      <c r="H62" s="7">
        <v>1500</v>
      </c>
      <c r="I62">
        <f>H62*1.4</f>
        <v>2100</v>
      </c>
      <c r="J62">
        <f>I62*1.1</f>
        <v>2310</v>
      </c>
      <c r="K62" s="7" t="s">
        <v>163</v>
      </c>
      <c r="L62" t="s">
        <v>207</v>
      </c>
      <c r="M62" t="s">
        <v>213</v>
      </c>
    </row>
    <row r="63" spans="1:13">
      <c r="B63" t="s">
        <v>152</v>
      </c>
      <c r="C63" t="s">
        <v>154</v>
      </c>
      <c r="D63" s="3" t="s">
        <v>153</v>
      </c>
      <c r="E63" s="7">
        <v>50</v>
      </c>
      <c r="F63">
        <f>E63*1.4</f>
        <v>70</v>
      </c>
      <c r="G63">
        <f>F63*1.1</f>
        <v>77</v>
      </c>
      <c r="I63">
        <f>H63*1.4</f>
        <v>0</v>
      </c>
      <c r="J63">
        <f>I63*1.1</f>
        <v>0</v>
      </c>
      <c r="K63" s="7" t="s">
        <v>155</v>
      </c>
      <c r="L63" t="s">
        <v>207</v>
      </c>
      <c r="M63" t="s">
        <v>213</v>
      </c>
    </row>
    <row r="64" spans="1:13">
      <c r="B64" t="s">
        <v>152</v>
      </c>
      <c r="C64" t="s">
        <v>156</v>
      </c>
      <c r="D64" s="3" t="s">
        <v>157</v>
      </c>
      <c r="E64" s="7">
        <v>95</v>
      </c>
      <c r="F64">
        <f>E64*1.4</f>
        <v>133</v>
      </c>
      <c r="G64">
        <f>F64*1.1</f>
        <v>146.30000000000001</v>
      </c>
      <c r="H64" s="7">
        <v>1300</v>
      </c>
      <c r="I64">
        <f>H64*1.4</f>
        <v>1819.9999999999998</v>
      </c>
      <c r="J64">
        <f>I64*1.1</f>
        <v>2002</v>
      </c>
      <c r="K64" s="7" t="s">
        <v>158</v>
      </c>
      <c r="L64" t="s">
        <v>207</v>
      </c>
      <c r="M64" t="s">
        <v>213</v>
      </c>
    </row>
    <row r="65" spans="1:13">
      <c r="F65">
        <f t="shared" si="4"/>
        <v>0</v>
      </c>
      <c r="G65">
        <f t="shared" si="5"/>
        <v>0</v>
      </c>
      <c r="I65">
        <f t="shared" si="6"/>
        <v>0</v>
      </c>
      <c r="J65">
        <f t="shared" si="7"/>
        <v>0</v>
      </c>
    </row>
    <row r="66" spans="1:13">
      <c r="B66" t="s">
        <v>188</v>
      </c>
      <c r="C66" t="s">
        <v>180</v>
      </c>
      <c r="E66" s="7">
        <v>500</v>
      </c>
      <c r="F66">
        <f t="shared" ref="F66:F76" si="12">E66*1.4</f>
        <v>700</v>
      </c>
      <c r="G66">
        <f t="shared" ref="G66:G76" si="13">F66*1.1</f>
        <v>770.00000000000011</v>
      </c>
      <c r="H66" s="7">
        <v>43999</v>
      </c>
      <c r="I66">
        <f t="shared" ref="I66:I76" si="14">H66*1.4</f>
        <v>61598.6</v>
      </c>
      <c r="J66">
        <f t="shared" ref="J66:J76" si="15">I66*1.1</f>
        <v>67758.460000000006</v>
      </c>
      <c r="K66" s="7" t="s">
        <v>181</v>
      </c>
      <c r="L66" s="9" t="s">
        <v>205</v>
      </c>
      <c r="M66" t="s">
        <v>206</v>
      </c>
    </row>
    <row r="67" spans="1:13">
      <c r="B67" t="s">
        <v>188</v>
      </c>
      <c r="C67" t="s">
        <v>165</v>
      </c>
      <c r="D67" s="3" t="s">
        <v>164</v>
      </c>
      <c r="E67" s="7">
        <v>225</v>
      </c>
      <c r="F67">
        <f t="shared" si="12"/>
        <v>315</v>
      </c>
      <c r="G67">
        <f t="shared" si="13"/>
        <v>346.5</v>
      </c>
      <c r="H67" s="7">
        <v>17000</v>
      </c>
      <c r="I67">
        <f t="shared" si="14"/>
        <v>23800</v>
      </c>
      <c r="J67">
        <f t="shared" si="15"/>
        <v>26180.000000000004</v>
      </c>
      <c r="K67" s="7" t="s">
        <v>166</v>
      </c>
      <c r="L67" s="9" t="s">
        <v>205</v>
      </c>
      <c r="M67" t="s">
        <v>206</v>
      </c>
    </row>
    <row r="68" spans="1:13">
      <c r="B68" t="s">
        <v>188</v>
      </c>
      <c r="C68" t="s">
        <v>174</v>
      </c>
      <c r="E68" s="7">
        <v>275</v>
      </c>
      <c r="F68">
        <f t="shared" si="12"/>
        <v>385</v>
      </c>
      <c r="G68">
        <f t="shared" si="13"/>
        <v>423.50000000000006</v>
      </c>
      <c r="H68" s="7">
        <v>16999</v>
      </c>
      <c r="I68">
        <f t="shared" si="14"/>
        <v>23798.6</v>
      </c>
      <c r="J68">
        <f t="shared" si="15"/>
        <v>26178.46</v>
      </c>
      <c r="K68" s="7" t="s">
        <v>175</v>
      </c>
      <c r="L68" s="9" t="s">
        <v>205</v>
      </c>
      <c r="M68" t="s">
        <v>206</v>
      </c>
    </row>
    <row r="69" spans="1:13">
      <c r="B69" t="s">
        <v>188</v>
      </c>
      <c r="C69" t="s">
        <v>182</v>
      </c>
      <c r="E69" s="7">
        <v>450</v>
      </c>
      <c r="F69">
        <f t="shared" si="12"/>
        <v>630</v>
      </c>
      <c r="G69">
        <f t="shared" si="13"/>
        <v>693</v>
      </c>
      <c r="H69" s="7">
        <v>66000</v>
      </c>
      <c r="I69">
        <f t="shared" si="14"/>
        <v>92400</v>
      </c>
      <c r="J69">
        <f t="shared" si="15"/>
        <v>101640.00000000001</v>
      </c>
      <c r="K69" s="7" t="s">
        <v>183</v>
      </c>
      <c r="L69" s="9" t="s">
        <v>205</v>
      </c>
      <c r="M69" t="s">
        <v>206</v>
      </c>
    </row>
    <row r="70" spans="1:13">
      <c r="B70" t="s">
        <v>188</v>
      </c>
      <c r="C70" t="s">
        <v>172</v>
      </c>
      <c r="E70" s="7">
        <v>100</v>
      </c>
      <c r="F70">
        <f t="shared" si="12"/>
        <v>140</v>
      </c>
      <c r="G70">
        <f t="shared" si="13"/>
        <v>154</v>
      </c>
      <c r="H70" s="7">
        <v>23300</v>
      </c>
      <c r="I70">
        <f t="shared" si="14"/>
        <v>32619.999999999996</v>
      </c>
      <c r="J70">
        <f t="shared" si="15"/>
        <v>35882</v>
      </c>
      <c r="K70" s="7" t="s">
        <v>173</v>
      </c>
      <c r="L70" s="9" t="s">
        <v>205</v>
      </c>
      <c r="M70" t="s">
        <v>214</v>
      </c>
    </row>
    <row r="71" spans="1:13">
      <c r="B71" t="s">
        <v>188</v>
      </c>
      <c r="C71" t="s">
        <v>167</v>
      </c>
      <c r="D71" s="3" t="s">
        <v>168</v>
      </c>
      <c r="E71" s="7">
        <v>410</v>
      </c>
      <c r="F71">
        <f t="shared" si="12"/>
        <v>574</v>
      </c>
      <c r="G71">
        <f t="shared" si="13"/>
        <v>631.40000000000009</v>
      </c>
      <c r="H71" s="7">
        <v>73399</v>
      </c>
      <c r="I71">
        <f t="shared" si="14"/>
        <v>102758.59999999999</v>
      </c>
      <c r="J71">
        <f t="shared" si="15"/>
        <v>113034.46</v>
      </c>
      <c r="K71" s="7" t="s">
        <v>169</v>
      </c>
      <c r="L71" s="9" t="s">
        <v>205</v>
      </c>
      <c r="M71" t="s">
        <v>206</v>
      </c>
    </row>
    <row r="72" spans="1:13">
      <c r="B72" t="s">
        <v>188</v>
      </c>
      <c r="C72" t="s">
        <v>170</v>
      </c>
      <c r="E72" s="7">
        <v>129</v>
      </c>
      <c r="F72">
        <f t="shared" si="12"/>
        <v>180.6</v>
      </c>
      <c r="G72">
        <f t="shared" si="13"/>
        <v>198.66</v>
      </c>
      <c r="H72" s="7">
        <v>43000</v>
      </c>
      <c r="I72">
        <f t="shared" si="14"/>
        <v>60199.999999999993</v>
      </c>
      <c r="J72">
        <f t="shared" si="15"/>
        <v>66220</v>
      </c>
      <c r="K72" s="7" t="s">
        <v>171</v>
      </c>
      <c r="L72" s="9" t="s">
        <v>205</v>
      </c>
      <c r="M72" t="s">
        <v>206</v>
      </c>
    </row>
    <row r="73" spans="1:13">
      <c r="B73" t="s">
        <v>188</v>
      </c>
      <c r="C73" t="s">
        <v>176</v>
      </c>
      <c r="E73" s="7">
        <v>500</v>
      </c>
      <c r="F73">
        <f t="shared" si="12"/>
        <v>700</v>
      </c>
      <c r="G73">
        <f t="shared" si="13"/>
        <v>770.00000000000011</v>
      </c>
      <c r="H73" s="7">
        <v>43999</v>
      </c>
      <c r="I73">
        <f t="shared" si="14"/>
        <v>61598.6</v>
      </c>
      <c r="J73">
        <f t="shared" si="15"/>
        <v>67758.460000000006</v>
      </c>
      <c r="K73" s="7" t="s">
        <v>177</v>
      </c>
      <c r="L73" s="9" t="s">
        <v>205</v>
      </c>
      <c r="M73" t="s">
        <v>206</v>
      </c>
    </row>
    <row r="74" spans="1:13">
      <c r="B74" t="s">
        <v>188</v>
      </c>
      <c r="C74" t="s">
        <v>186</v>
      </c>
      <c r="E74" s="7">
        <v>225</v>
      </c>
      <c r="F74">
        <f t="shared" si="12"/>
        <v>315</v>
      </c>
      <c r="G74">
        <f t="shared" si="13"/>
        <v>346.5</v>
      </c>
      <c r="H74" s="7">
        <v>18000</v>
      </c>
      <c r="I74">
        <f t="shared" si="14"/>
        <v>25200</v>
      </c>
      <c r="J74">
        <f t="shared" si="15"/>
        <v>27720.000000000004</v>
      </c>
      <c r="K74" s="7" t="s">
        <v>187</v>
      </c>
      <c r="L74" s="9" t="s">
        <v>205</v>
      </c>
      <c r="M74" t="s">
        <v>206</v>
      </c>
    </row>
    <row r="75" spans="1:13">
      <c r="B75" t="s">
        <v>188</v>
      </c>
      <c r="C75" t="s">
        <v>184</v>
      </c>
      <c r="E75" s="7">
        <v>350</v>
      </c>
      <c r="F75">
        <f t="shared" si="12"/>
        <v>489.99999999999994</v>
      </c>
      <c r="G75">
        <f t="shared" si="13"/>
        <v>539</v>
      </c>
      <c r="H75" s="7">
        <v>22000</v>
      </c>
      <c r="I75">
        <f t="shared" si="14"/>
        <v>30799.999999999996</v>
      </c>
      <c r="J75">
        <f t="shared" si="15"/>
        <v>33880</v>
      </c>
      <c r="K75" s="7" t="s">
        <v>185</v>
      </c>
      <c r="L75" s="9" t="s">
        <v>205</v>
      </c>
      <c r="M75" t="s">
        <v>206</v>
      </c>
    </row>
    <row r="76" spans="1:13">
      <c r="B76" t="s">
        <v>188</v>
      </c>
      <c r="C76" t="s">
        <v>178</v>
      </c>
      <c r="E76" s="7">
        <v>462</v>
      </c>
      <c r="F76">
        <f t="shared" si="12"/>
        <v>646.79999999999995</v>
      </c>
      <c r="G76">
        <f t="shared" si="13"/>
        <v>711.48</v>
      </c>
      <c r="H76" s="7">
        <v>43999</v>
      </c>
      <c r="I76">
        <f t="shared" si="14"/>
        <v>61598.6</v>
      </c>
      <c r="J76">
        <f t="shared" si="15"/>
        <v>67758.460000000006</v>
      </c>
      <c r="K76" s="7" t="s">
        <v>179</v>
      </c>
      <c r="L76" s="9" t="s">
        <v>205</v>
      </c>
      <c r="M76" t="s">
        <v>206</v>
      </c>
    </row>
    <row r="77" spans="1:13">
      <c r="F77">
        <f t="shared" ref="F77:F91" si="16">E77*1.4</f>
        <v>0</v>
      </c>
      <c r="G77">
        <f t="shared" ref="G77:G91" si="17">F77*1.1</f>
        <v>0</v>
      </c>
      <c r="I77">
        <f t="shared" ref="I77:I91" si="18">H77*1.4</f>
        <v>0</v>
      </c>
      <c r="J77">
        <f t="shared" ref="J77:J91" si="19">I77*1.1</f>
        <v>0</v>
      </c>
    </row>
    <row r="78" spans="1:13" ht="23.25">
      <c r="A78" s="1" t="s">
        <v>189</v>
      </c>
      <c r="F78">
        <f t="shared" si="16"/>
        <v>0</v>
      </c>
      <c r="G78">
        <f t="shared" si="17"/>
        <v>0</v>
      </c>
      <c r="I78">
        <f t="shared" si="18"/>
        <v>0</v>
      </c>
      <c r="J78">
        <f t="shared" si="19"/>
        <v>0</v>
      </c>
    </row>
    <row r="79" spans="1:13">
      <c r="A79" t="s">
        <v>984</v>
      </c>
      <c r="B79" t="s">
        <v>983</v>
      </c>
      <c r="C79" t="s">
        <v>231</v>
      </c>
      <c r="E79" s="7">
        <v>300</v>
      </c>
      <c r="F79">
        <f t="shared" ref="F79:F90" si="20">E79*1.4</f>
        <v>420</v>
      </c>
      <c r="G79">
        <f t="shared" ref="G79:G90" si="21">F79*1.1</f>
        <v>462.00000000000006</v>
      </c>
      <c r="H79" s="7">
        <v>1610</v>
      </c>
      <c r="I79">
        <f t="shared" ref="I79:I90" si="22">H79*1.4</f>
        <v>2254</v>
      </c>
      <c r="J79">
        <f t="shared" ref="J79:J90" si="23">I79*1.1</f>
        <v>2479.4</v>
      </c>
      <c r="K79" s="7" t="s">
        <v>232</v>
      </c>
    </row>
    <row r="80" spans="1:13">
      <c r="B80" t="s">
        <v>983</v>
      </c>
      <c r="C80" t="s">
        <v>229</v>
      </c>
      <c r="E80" s="7">
        <v>200</v>
      </c>
      <c r="F80">
        <f t="shared" si="20"/>
        <v>280</v>
      </c>
      <c r="G80">
        <f t="shared" si="21"/>
        <v>308</v>
      </c>
      <c r="H80" s="7">
        <v>945</v>
      </c>
      <c r="I80">
        <f t="shared" si="22"/>
        <v>1323</v>
      </c>
      <c r="J80">
        <f t="shared" si="23"/>
        <v>1455.3000000000002</v>
      </c>
      <c r="K80" s="7" t="s">
        <v>230</v>
      </c>
    </row>
    <row r="81" spans="1:11">
      <c r="B81" t="s">
        <v>983</v>
      </c>
      <c r="C81" t="s">
        <v>236</v>
      </c>
      <c r="E81" s="7">
        <v>90</v>
      </c>
      <c r="F81">
        <f t="shared" si="20"/>
        <v>125.99999999999999</v>
      </c>
      <c r="G81">
        <f t="shared" si="21"/>
        <v>138.6</v>
      </c>
      <c r="H81" s="7">
        <v>1995</v>
      </c>
      <c r="I81">
        <f t="shared" si="22"/>
        <v>2793</v>
      </c>
      <c r="J81">
        <f t="shared" si="23"/>
        <v>3072.3</v>
      </c>
      <c r="K81" s="7" t="s">
        <v>237</v>
      </c>
    </row>
    <row r="82" spans="1:11">
      <c r="B82" t="s">
        <v>983</v>
      </c>
      <c r="C82" t="s">
        <v>245</v>
      </c>
      <c r="D82" s="10" t="s">
        <v>244</v>
      </c>
      <c r="E82" s="7">
        <v>95</v>
      </c>
      <c r="F82">
        <f t="shared" si="20"/>
        <v>133</v>
      </c>
      <c r="G82">
        <f t="shared" si="21"/>
        <v>146.30000000000001</v>
      </c>
      <c r="H82" s="7">
        <v>1000</v>
      </c>
      <c r="I82">
        <f t="shared" si="22"/>
        <v>1400</v>
      </c>
      <c r="J82">
        <f t="shared" si="23"/>
        <v>1540.0000000000002</v>
      </c>
      <c r="K82" s="7" t="s">
        <v>246</v>
      </c>
    </row>
    <row r="83" spans="1:11">
      <c r="B83" t="s">
        <v>983</v>
      </c>
      <c r="C83" t="s">
        <v>242</v>
      </c>
      <c r="D83" s="3" t="s">
        <v>241</v>
      </c>
      <c r="E83" s="7">
        <v>90</v>
      </c>
      <c r="F83">
        <f t="shared" si="20"/>
        <v>125.99999999999999</v>
      </c>
      <c r="G83">
        <f t="shared" si="21"/>
        <v>138.6</v>
      </c>
      <c r="H83" s="7">
        <v>1300</v>
      </c>
      <c r="I83">
        <f t="shared" si="22"/>
        <v>1819.9999999999998</v>
      </c>
      <c r="J83">
        <f t="shared" si="23"/>
        <v>2002</v>
      </c>
      <c r="K83" s="7" t="s">
        <v>243</v>
      </c>
    </row>
    <row r="84" spans="1:11">
      <c r="B84" t="s">
        <v>983</v>
      </c>
      <c r="C84" t="s">
        <v>221</v>
      </c>
      <c r="D84" s="3" t="s">
        <v>217</v>
      </c>
      <c r="E84" s="7">
        <v>70</v>
      </c>
      <c r="F84">
        <f t="shared" si="20"/>
        <v>98</v>
      </c>
      <c r="G84">
        <f t="shared" si="21"/>
        <v>107.80000000000001</v>
      </c>
      <c r="H84" s="7">
        <v>995</v>
      </c>
      <c r="I84">
        <f t="shared" si="22"/>
        <v>1393</v>
      </c>
      <c r="J84">
        <f t="shared" si="23"/>
        <v>1532.3000000000002</v>
      </c>
      <c r="K84" s="7" t="s">
        <v>218</v>
      </c>
    </row>
    <row r="85" spans="1:11">
      <c r="B85" t="s">
        <v>983</v>
      </c>
      <c r="C85" t="s">
        <v>220</v>
      </c>
      <c r="D85" s="3" t="s">
        <v>219</v>
      </c>
      <c r="E85" s="7">
        <v>150</v>
      </c>
      <c r="F85">
        <f t="shared" si="20"/>
        <v>210</v>
      </c>
      <c r="G85">
        <f t="shared" si="21"/>
        <v>231.00000000000003</v>
      </c>
      <c r="H85" s="7">
        <v>2995</v>
      </c>
      <c r="I85">
        <f t="shared" si="22"/>
        <v>4193</v>
      </c>
      <c r="J85">
        <f t="shared" si="23"/>
        <v>4612.3</v>
      </c>
      <c r="K85" s="7" t="s">
        <v>222</v>
      </c>
    </row>
    <row r="86" spans="1:11">
      <c r="B86" t="s">
        <v>983</v>
      </c>
      <c r="C86" t="s">
        <v>247</v>
      </c>
      <c r="D86" s="3" t="s">
        <v>248</v>
      </c>
      <c r="E86" s="7">
        <v>120</v>
      </c>
      <c r="F86">
        <f t="shared" si="20"/>
        <v>168</v>
      </c>
      <c r="G86">
        <f t="shared" si="21"/>
        <v>184.8</v>
      </c>
      <c r="H86" s="7">
        <v>5000</v>
      </c>
      <c r="I86">
        <f t="shared" si="22"/>
        <v>7000</v>
      </c>
      <c r="J86">
        <f t="shared" si="23"/>
        <v>7700.0000000000009</v>
      </c>
      <c r="K86" s="7" t="s">
        <v>249</v>
      </c>
    </row>
    <row r="87" spans="1:11">
      <c r="B87" t="s">
        <v>983</v>
      </c>
      <c r="C87" t="s">
        <v>227</v>
      </c>
      <c r="D87" s="3" t="s">
        <v>226</v>
      </c>
      <c r="E87" s="7">
        <v>200</v>
      </c>
      <c r="F87">
        <f t="shared" si="20"/>
        <v>280</v>
      </c>
      <c r="G87">
        <f t="shared" si="21"/>
        <v>308</v>
      </c>
      <c r="H87" s="7">
        <v>4995</v>
      </c>
      <c r="I87">
        <f t="shared" si="22"/>
        <v>6993</v>
      </c>
      <c r="J87">
        <f t="shared" si="23"/>
        <v>7692.3</v>
      </c>
      <c r="K87" s="7" t="s">
        <v>228</v>
      </c>
    </row>
    <row r="88" spans="1:11">
      <c r="B88" t="s">
        <v>983</v>
      </c>
      <c r="C88" t="s">
        <v>239</v>
      </c>
      <c r="D88" s="3" t="s">
        <v>238</v>
      </c>
      <c r="E88" s="7">
        <v>230</v>
      </c>
      <c r="F88">
        <f t="shared" si="20"/>
        <v>322</v>
      </c>
      <c r="G88">
        <f t="shared" si="21"/>
        <v>354.20000000000005</v>
      </c>
      <c r="H88" s="7">
        <v>6000</v>
      </c>
      <c r="I88">
        <f t="shared" si="22"/>
        <v>8400</v>
      </c>
      <c r="J88">
        <f t="shared" si="23"/>
        <v>9240</v>
      </c>
      <c r="K88" s="7" t="s">
        <v>240</v>
      </c>
    </row>
    <row r="89" spans="1:11">
      <c r="B89" t="s">
        <v>983</v>
      </c>
      <c r="C89" t="s">
        <v>233</v>
      </c>
      <c r="D89" s="3" t="s">
        <v>234</v>
      </c>
      <c r="E89" s="7">
        <v>47</v>
      </c>
      <c r="F89">
        <f t="shared" si="20"/>
        <v>65.8</v>
      </c>
      <c r="G89">
        <f t="shared" si="21"/>
        <v>72.38000000000001</v>
      </c>
      <c r="H89" s="7">
        <v>895</v>
      </c>
      <c r="I89">
        <f t="shared" si="22"/>
        <v>1253</v>
      </c>
      <c r="J89">
        <f t="shared" si="23"/>
        <v>1378.3000000000002</v>
      </c>
      <c r="K89" s="7" t="s">
        <v>235</v>
      </c>
    </row>
    <row r="90" spans="1:11">
      <c r="B90" t="s">
        <v>983</v>
      </c>
      <c r="C90" t="s">
        <v>224</v>
      </c>
      <c r="D90" s="3" t="s">
        <v>223</v>
      </c>
      <c r="E90" s="7">
        <v>50</v>
      </c>
      <c r="F90">
        <f t="shared" si="20"/>
        <v>70</v>
      </c>
      <c r="G90">
        <f t="shared" si="21"/>
        <v>77</v>
      </c>
      <c r="H90" s="7">
        <v>495</v>
      </c>
      <c r="I90">
        <f t="shared" si="22"/>
        <v>693</v>
      </c>
      <c r="J90">
        <f t="shared" si="23"/>
        <v>762.30000000000007</v>
      </c>
      <c r="K90" s="7" t="s">
        <v>225</v>
      </c>
    </row>
    <row r="91" spans="1:11">
      <c r="F91">
        <f t="shared" si="16"/>
        <v>0</v>
      </c>
      <c r="G91">
        <f t="shared" si="17"/>
        <v>0</v>
      </c>
      <c r="I91">
        <f t="shared" si="18"/>
        <v>0</v>
      </c>
      <c r="J91">
        <f t="shared" si="19"/>
        <v>0</v>
      </c>
    </row>
    <row r="92" spans="1:11">
      <c r="A92" t="s">
        <v>982</v>
      </c>
      <c r="B92" t="s">
        <v>260</v>
      </c>
      <c r="C92" t="s">
        <v>265</v>
      </c>
      <c r="F92">
        <f t="shared" ref="F92:F108" si="24">E92*1.4</f>
        <v>0</v>
      </c>
      <c r="G92">
        <f t="shared" ref="G92:G108" si="25">F92*1.1</f>
        <v>0</v>
      </c>
      <c r="H92" s="7">
        <v>50</v>
      </c>
      <c r="I92">
        <f t="shared" ref="I92:I108" si="26">H92*1.4</f>
        <v>70</v>
      </c>
      <c r="J92">
        <f t="shared" ref="J92:J108" si="27">I92*1.1</f>
        <v>77</v>
      </c>
      <c r="K92" s="7" t="s">
        <v>300</v>
      </c>
    </row>
    <row r="93" spans="1:11">
      <c r="B93" t="s">
        <v>260</v>
      </c>
      <c r="C93" t="s">
        <v>291</v>
      </c>
      <c r="E93" s="7">
        <v>10</v>
      </c>
      <c r="F93">
        <f t="shared" si="24"/>
        <v>14</v>
      </c>
      <c r="G93">
        <f t="shared" si="25"/>
        <v>15.400000000000002</v>
      </c>
      <c r="H93" s="7">
        <v>65</v>
      </c>
      <c r="I93">
        <f t="shared" si="26"/>
        <v>91</v>
      </c>
      <c r="J93">
        <f t="shared" si="27"/>
        <v>100.10000000000001</v>
      </c>
      <c r="K93" s="7" t="s">
        <v>332</v>
      </c>
    </row>
    <row r="94" spans="1:11">
      <c r="B94" t="s">
        <v>260</v>
      </c>
      <c r="C94" t="s">
        <v>270</v>
      </c>
      <c r="E94" s="7">
        <v>1</v>
      </c>
      <c r="F94">
        <f t="shared" si="24"/>
        <v>1.4</v>
      </c>
      <c r="G94">
        <f t="shared" si="25"/>
        <v>1.54</v>
      </c>
      <c r="H94" s="7">
        <v>18</v>
      </c>
      <c r="I94">
        <f t="shared" si="26"/>
        <v>25.2</v>
      </c>
      <c r="J94">
        <f t="shared" si="27"/>
        <v>27.720000000000002</v>
      </c>
      <c r="K94" s="7" t="s">
        <v>305</v>
      </c>
    </row>
    <row r="95" spans="1:11">
      <c r="B95" t="s">
        <v>260</v>
      </c>
      <c r="C95" t="s">
        <v>290</v>
      </c>
      <c r="E95" s="7">
        <v>5</v>
      </c>
      <c r="F95">
        <f t="shared" si="24"/>
        <v>7</v>
      </c>
      <c r="G95">
        <f t="shared" si="25"/>
        <v>7.7000000000000011</v>
      </c>
      <c r="H95" s="7">
        <v>60</v>
      </c>
      <c r="I95">
        <f t="shared" si="26"/>
        <v>84</v>
      </c>
      <c r="J95">
        <f t="shared" si="27"/>
        <v>92.4</v>
      </c>
      <c r="K95" s="7" t="s">
        <v>331</v>
      </c>
    </row>
    <row r="96" spans="1:11">
      <c r="B96" t="s">
        <v>260</v>
      </c>
      <c r="C96" t="s">
        <v>269</v>
      </c>
      <c r="E96" s="7">
        <v>2</v>
      </c>
      <c r="F96">
        <f t="shared" si="24"/>
        <v>2.8</v>
      </c>
      <c r="G96">
        <f t="shared" si="25"/>
        <v>3.08</v>
      </c>
      <c r="H96" s="7">
        <v>31</v>
      </c>
      <c r="I96">
        <f t="shared" si="26"/>
        <v>43.4</v>
      </c>
      <c r="J96">
        <f t="shared" si="27"/>
        <v>47.74</v>
      </c>
      <c r="K96" s="7" t="s">
        <v>304</v>
      </c>
    </row>
    <row r="97" spans="2:11">
      <c r="B97" t="s">
        <v>260</v>
      </c>
      <c r="C97" t="s">
        <v>287</v>
      </c>
      <c r="E97" s="7">
        <v>42</v>
      </c>
      <c r="F97">
        <f t="shared" si="24"/>
        <v>58.8</v>
      </c>
      <c r="G97">
        <f t="shared" si="25"/>
        <v>64.680000000000007</v>
      </c>
      <c r="H97" s="7">
        <v>3000</v>
      </c>
      <c r="I97">
        <f t="shared" si="26"/>
        <v>4200</v>
      </c>
      <c r="J97">
        <f t="shared" si="27"/>
        <v>4620</v>
      </c>
      <c r="K97" s="7" t="s">
        <v>325</v>
      </c>
    </row>
    <row r="98" spans="2:11">
      <c r="B98" t="s">
        <v>260</v>
      </c>
      <c r="C98" t="s">
        <v>283</v>
      </c>
      <c r="E98" s="7">
        <v>2</v>
      </c>
      <c r="F98">
        <f t="shared" si="24"/>
        <v>2.8</v>
      </c>
      <c r="G98">
        <f t="shared" si="25"/>
        <v>3.08</v>
      </c>
      <c r="H98" s="7">
        <v>20</v>
      </c>
      <c r="I98">
        <f t="shared" si="26"/>
        <v>28</v>
      </c>
      <c r="J98">
        <f t="shared" si="27"/>
        <v>30.800000000000004</v>
      </c>
      <c r="K98" s="7" t="s">
        <v>319</v>
      </c>
    </row>
    <row r="99" spans="2:11">
      <c r="B99" t="s">
        <v>260</v>
      </c>
      <c r="C99" t="s">
        <v>266</v>
      </c>
      <c r="F99">
        <f t="shared" si="24"/>
        <v>0</v>
      </c>
      <c r="G99">
        <f t="shared" si="25"/>
        <v>0</v>
      </c>
      <c r="H99" s="7">
        <v>85</v>
      </c>
      <c r="I99">
        <f t="shared" si="26"/>
        <v>118.99999999999999</v>
      </c>
      <c r="J99">
        <f t="shared" si="27"/>
        <v>130.9</v>
      </c>
      <c r="K99" s="7" t="s">
        <v>301</v>
      </c>
    </row>
    <row r="100" spans="2:11">
      <c r="B100" t="s">
        <v>260</v>
      </c>
      <c r="C100" t="s">
        <v>284</v>
      </c>
      <c r="D100" s="3" t="s">
        <v>321</v>
      </c>
      <c r="E100" s="7">
        <v>4</v>
      </c>
      <c r="F100">
        <f t="shared" si="24"/>
        <v>5.6</v>
      </c>
      <c r="G100">
        <f t="shared" si="25"/>
        <v>6.16</v>
      </c>
      <c r="H100" s="7">
        <v>60</v>
      </c>
      <c r="I100">
        <f t="shared" si="26"/>
        <v>84</v>
      </c>
      <c r="J100">
        <f t="shared" si="27"/>
        <v>92.4</v>
      </c>
      <c r="K100" s="7" t="s">
        <v>322</v>
      </c>
    </row>
    <row r="101" spans="2:11">
      <c r="B101" t="s">
        <v>260</v>
      </c>
      <c r="C101" t="s">
        <v>280</v>
      </c>
      <c r="E101" s="7">
        <v>3</v>
      </c>
      <c r="F101">
        <f t="shared" si="24"/>
        <v>4.1999999999999993</v>
      </c>
      <c r="G101">
        <f t="shared" si="25"/>
        <v>4.6199999999999992</v>
      </c>
      <c r="H101" s="7">
        <v>68</v>
      </c>
      <c r="I101">
        <f t="shared" si="26"/>
        <v>95.199999999999989</v>
      </c>
      <c r="J101">
        <f t="shared" si="27"/>
        <v>104.72</v>
      </c>
      <c r="K101" s="7" t="s">
        <v>316</v>
      </c>
    </row>
    <row r="102" spans="2:11">
      <c r="B102" t="s">
        <v>260</v>
      </c>
      <c r="C102" t="s">
        <v>281</v>
      </c>
      <c r="E102" s="7">
        <v>2</v>
      </c>
      <c r="F102">
        <f t="shared" si="24"/>
        <v>2.8</v>
      </c>
      <c r="G102">
        <f t="shared" si="25"/>
        <v>3.08</v>
      </c>
      <c r="H102" s="7">
        <v>53</v>
      </c>
      <c r="I102">
        <f t="shared" si="26"/>
        <v>74.199999999999989</v>
      </c>
      <c r="J102">
        <f t="shared" si="27"/>
        <v>81.61999999999999</v>
      </c>
      <c r="K102" s="7" t="s">
        <v>317</v>
      </c>
    </row>
    <row r="103" spans="2:11">
      <c r="B103" t="s">
        <v>260</v>
      </c>
      <c r="C103" t="s">
        <v>338</v>
      </c>
      <c r="E103" s="7">
        <v>30</v>
      </c>
      <c r="F103">
        <f t="shared" si="24"/>
        <v>42</v>
      </c>
      <c r="G103">
        <f t="shared" si="25"/>
        <v>46.2</v>
      </c>
      <c r="H103" s="7">
        <v>110</v>
      </c>
      <c r="I103">
        <f t="shared" si="26"/>
        <v>154</v>
      </c>
      <c r="J103">
        <f t="shared" si="27"/>
        <v>169.4</v>
      </c>
      <c r="K103" s="7" t="s">
        <v>306</v>
      </c>
    </row>
    <row r="104" spans="2:11">
      <c r="B104" t="s">
        <v>260</v>
      </c>
      <c r="C104" t="s">
        <v>339</v>
      </c>
      <c r="E104" s="7">
        <v>12</v>
      </c>
      <c r="F104">
        <f t="shared" si="24"/>
        <v>16.799999999999997</v>
      </c>
      <c r="G104">
        <f t="shared" si="25"/>
        <v>18.479999999999997</v>
      </c>
      <c r="H104" s="7">
        <v>130</v>
      </c>
      <c r="I104">
        <f t="shared" si="26"/>
        <v>182</v>
      </c>
      <c r="J104">
        <f t="shared" si="27"/>
        <v>200.20000000000002</v>
      </c>
      <c r="K104" s="7" t="s">
        <v>297</v>
      </c>
    </row>
    <row r="105" spans="2:11">
      <c r="B105" t="s">
        <v>260</v>
      </c>
      <c r="C105" t="s">
        <v>340</v>
      </c>
      <c r="E105" s="7">
        <v>5</v>
      </c>
      <c r="F105">
        <f t="shared" si="24"/>
        <v>7</v>
      </c>
      <c r="G105">
        <f t="shared" si="25"/>
        <v>7.7000000000000011</v>
      </c>
      <c r="H105" s="7">
        <v>110</v>
      </c>
      <c r="I105">
        <f t="shared" si="26"/>
        <v>154</v>
      </c>
      <c r="J105">
        <f t="shared" si="27"/>
        <v>169.4</v>
      </c>
      <c r="K105" s="7" t="s">
        <v>298</v>
      </c>
    </row>
    <row r="106" spans="2:11">
      <c r="B106" t="s">
        <v>260</v>
      </c>
      <c r="C106" t="s">
        <v>261</v>
      </c>
      <c r="E106" s="7">
        <v>550</v>
      </c>
      <c r="F106">
        <f t="shared" si="24"/>
        <v>770</v>
      </c>
      <c r="G106">
        <f t="shared" si="25"/>
        <v>847.00000000000011</v>
      </c>
      <c r="I106">
        <f t="shared" si="26"/>
        <v>0</v>
      </c>
      <c r="J106">
        <f t="shared" si="27"/>
        <v>0</v>
      </c>
      <c r="K106" s="7" t="s">
        <v>294</v>
      </c>
    </row>
    <row r="107" spans="2:11">
      <c r="B107" t="s">
        <v>260</v>
      </c>
      <c r="C107" t="s">
        <v>275</v>
      </c>
      <c r="E107" s="7">
        <v>5</v>
      </c>
      <c r="F107">
        <f t="shared" si="24"/>
        <v>7</v>
      </c>
      <c r="G107">
        <f t="shared" si="25"/>
        <v>7.7000000000000011</v>
      </c>
      <c r="H107" s="7">
        <v>95</v>
      </c>
      <c r="I107">
        <f t="shared" si="26"/>
        <v>133</v>
      </c>
      <c r="J107">
        <f t="shared" si="27"/>
        <v>146.30000000000001</v>
      </c>
      <c r="K107" s="7" t="s">
        <v>311</v>
      </c>
    </row>
    <row r="108" spans="2:11">
      <c r="B108" t="s">
        <v>260</v>
      </c>
      <c r="C108" t="s">
        <v>282</v>
      </c>
      <c r="E108" s="7">
        <v>3</v>
      </c>
      <c r="F108">
        <f t="shared" si="24"/>
        <v>4.1999999999999993</v>
      </c>
      <c r="G108">
        <f t="shared" si="25"/>
        <v>4.6199999999999992</v>
      </c>
      <c r="H108" s="7">
        <v>57</v>
      </c>
      <c r="I108">
        <f t="shared" si="26"/>
        <v>79.8</v>
      </c>
      <c r="J108">
        <f t="shared" si="27"/>
        <v>87.78</v>
      </c>
      <c r="K108" s="7" t="s">
        <v>318</v>
      </c>
    </row>
    <row r="109" spans="2:11">
      <c r="B109" t="s">
        <v>260</v>
      </c>
      <c r="C109" t="s">
        <v>329</v>
      </c>
      <c r="E109" s="7">
        <v>2</v>
      </c>
      <c r="H109" s="7">
        <v>70</v>
      </c>
      <c r="K109" s="7" t="s">
        <v>327</v>
      </c>
    </row>
    <row r="110" spans="2:11">
      <c r="B110" t="s">
        <v>260</v>
      </c>
      <c r="C110" t="s">
        <v>264</v>
      </c>
      <c r="E110" s="7">
        <v>8</v>
      </c>
      <c r="F110">
        <f t="shared" ref="F110:F131" si="28">E110*1.4</f>
        <v>11.2</v>
      </c>
      <c r="G110">
        <f t="shared" ref="G110:G131" si="29">F110*1.1</f>
        <v>12.32</v>
      </c>
      <c r="H110" s="7">
        <v>90</v>
      </c>
      <c r="I110">
        <f t="shared" ref="I110:I131" si="30">H110*1.4</f>
        <v>125.99999999999999</v>
      </c>
      <c r="J110">
        <f t="shared" ref="J110:J131" si="31">I110*1.1</f>
        <v>138.6</v>
      </c>
      <c r="K110" s="7" t="s">
        <v>299</v>
      </c>
    </row>
    <row r="111" spans="2:11">
      <c r="B111" t="s">
        <v>260</v>
      </c>
      <c r="C111" t="s">
        <v>274</v>
      </c>
      <c r="E111" s="7">
        <v>1</v>
      </c>
      <c r="F111">
        <f t="shared" si="28"/>
        <v>1.4</v>
      </c>
      <c r="G111">
        <f t="shared" si="29"/>
        <v>1.54</v>
      </c>
      <c r="H111" s="7">
        <v>20</v>
      </c>
      <c r="I111">
        <f t="shared" si="30"/>
        <v>28</v>
      </c>
      <c r="J111">
        <f t="shared" si="31"/>
        <v>30.800000000000004</v>
      </c>
      <c r="K111" s="7" t="s">
        <v>310</v>
      </c>
    </row>
    <row r="112" spans="2:11">
      <c r="B112" t="s">
        <v>260</v>
      </c>
      <c r="C112" t="s">
        <v>288</v>
      </c>
      <c r="E112" s="7">
        <v>2</v>
      </c>
      <c r="F112">
        <f t="shared" si="28"/>
        <v>2.8</v>
      </c>
      <c r="G112">
        <f t="shared" si="29"/>
        <v>3.08</v>
      </c>
      <c r="H112" s="7">
        <v>20</v>
      </c>
      <c r="I112">
        <f t="shared" si="30"/>
        <v>28</v>
      </c>
      <c r="J112">
        <f t="shared" si="31"/>
        <v>30.800000000000004</v>
      </c>
      <c r="K112" s="7" t="s">
        <v>326</v>
      </c>
    </row>
    <row r="113" spans="2:11">
      <c r="B113" t="s">
        <v>260</v>
      </c>
      <c r="C113" t="s">
        <v>279</v>
      </c>
      <c r="E113" s="7">
        <v>8</v>
      </c>
      <c r="F113">
        <f t="shared" si="28"/>
        <v>11.2</v>
      </c>
      <c r="G113">
        <f t="shared" si="29"/>
        <v>12.32</v>
      </c>
      <c r="H113" s="7">
        <v>43</v>
      </c>
      <c r="I113">
        <f t="shared" si="30"/>
        <v>60.199999999999996</v>
      </c>
      <c r="J113">
        <f t="shared" si="31"/>
        <v>66.22</v>
      </c>
      <c r="K113" s="7" t="s">
        <v>315</v>
      </c>
    </row>
    <row r="114" spans="2:11">
      <c r="B114" t="s">
        <v>260</v>
      </c>
      <c r="C114" t="s">
        <v>277</v>
      </c>
      <c r="E114" s="7">
        <v>12</v>
      </c>
      <c r="F114">
        <f t="shared" si="28"/>
        <v>16.799999999999997</v>
      </c>
      <c r="G114">
        <f t="shared" si="29"/>
        <v>18.479999999999997</v>
      </c>
      <c r="H114" s="7">
        <v>300</v>
      </c>
      <c r="I114">
        <f t="shared" si="30"/>
        <v>420</v>
      </c>
      <c r="J114">
        <f t="shared" si="31"/>
        <v>462.00000000000006</v>
      </c>
      <c r="K114" s="7" t="s">
        <v>313</v>
      </c>
    </row>
    <row r="115" spans="2:11">
      <c r="B115" t="s">
        <v>260</v>
      </c>
      <c r="C115" t="s">
        <v>272</v>
      </c>
      <c r="E115" s="7">
        <v>5</v>
      </c>
      <c r="F115">
        <f t="shared" si="28"/>
        <v>7</v>
      </c>
      <c r="G115">
        <f t="shared" si="29"/>
        <v>7.7000000000000011</v>
      </c>
      <c r="H115" s="7">
        <v>100</v>
      </c>
      <c r="I115">
        <f t="shared" si="30"/>
        <v>140</v>
      </c>
      <c r="J115">
        <f t="shared" si="31"/>
        <v>154</v>
      </c>
      <c r="K115" s="7" t="s">
        <v>308</v>
      </c>
    </row>
    <row r="116" spans="2:11">
      <c r="B116" t="s">
        <v>260</v>
      </c>
      <c r="C116" t="s">
        <v>267</v>
      </c>
      <c r="E116" s="7">
        <v>20</v>
      </c>
      <c r="F116">
        <f t="shared" si="28"/>
        <v>28</v>
      </c>
      <c r="G116">
        <f t="shared" si="29"/>
        <v>30.800000000000004</v>
      </c>
      <c r="H116" s="7">
        <v>110</v>
      </c>
      <c r="I116">
        <f t="shared" si="30"/>
        <v>154</v>
      </c>
      <c r="J116">
        <f t="shared" si="31"/>
        <v>169.4</v>
      </c>
      <c r="K116" s="7" t="s">
        <v>302</v>
      </c>
    </row>
    <row r="117" spans="2:11">
      <c r="B117" t="s">
        <v>260</v>
      </c>
      <c r="C117" t="s">
        <v>289</v>
      </c>
      <c r="E117" s="7">
        <v>1</v>
      </c>
      <c r="F117">
        <f t="shared" si="28"/>
        <v>1.4</v>
      </c>
      <c r="G117">
        <f t="shared" si="29"/>
        <v>1.54</v>
      </c>
      <c r="H117" s="7">
        <v>30</v>
      </c>
      <c r="I117">
        <f t="shared" si="30"/>
        <v>42</v>
      </c>
      <c r="J117">
        <f t="shared" si="31"/>
        <v>46.2</v>
      </c>
      <c r="K117" s="7" t="s">
        <v>328</v>
      </c>
    </row>
    <row r="118" spans="2:11">
      <c r="B118" t="s">
        <v>260</v>
      </c>
      <c r="C118" t="s">
        <v>336</v>
      </c>
      <c r="E118" s="7">
        <v>500</v>
      </c>
      <c r="F118">
        <f t="shared" si="28"/>
        <v>700</v>
      </c>
      <c r="G118">
        <f t="shared" si="29"/>
        <v>770.00000000000011</v>
      </c>
      <c r="I118">
        <f t="shared" si="30"/>
        <v>0</v>
      </c>
      <c r="J118">
        <f t="shared" si="31"/>
        <v>0</v>
      </c>
      <c r="K118" s="7" t="s">
        <v>320</v>
      </c>
    </row>
    <row r="119" spans="2:11">
      <c r="B119" t="s">
        <v>260</v>
      </c>
      <c r="C119" t="s">
        <v>337</v>
      </c>
      <c r="E119" s="7">
        <v>300</v>
      </c>
      <c r="F119">
        <f t="shared" si="28"/>
        <v>420</v>
      </c>
      <c r="G119">
        <f t="shared" si="29"/>
        <v>462.00000000000006</v>
      </c>
      <c r="I119">
        <f t="shared" si="30"/>
        <v>0</v>
      </c>
      <c r="J119">
        <f t="shared" si="31"/>
        <v>0</v>
      </c>
      <c r="K119" s="7" t="s">
        <v>293</v>
      </c>
    </row>
    <row r="120" spans="2:11">
      <c r="B120" t="s">
        <v>260</v>
      </c>
      <c r="C120" t="s">
        <v>334</v>
      </c>
      <c r="E120" s="7">
        <v>550</v>
      </c>
      <c r="F120">
        <f t="shared" si="28"/>
        <v>770</v>
      </c>
      <c r="G120">
        <f t="shared" si="29"/>
        <v>847.00000000000011</v>
      </c>
      <c r="I120">
        <f t="shared" si="30"/>
        <v>0</v>
      </c>
      <c r="J120">
        <f t="shared" si="31"/>
        <v>0</v>
      </c>
      <c r="K120" s="7" t="s">
        <v>292</v>
      </c>
    </row>
    <row r="121" spans="2:11">
      <c r="B121" t="s">
        <v>260</v>
      </c>
      <c r="C121" t="s">
        <v>335</v>
      </c>
      <c r="E121" s="7">
        <v>1600</v>
      </c>
      <c r="F121">
        <f t="shared" si="28"/>
        <v>2240</v>
      </c>
      <c r="G121">
        <f t="shared" si="29"/>
        <v>2464</v>
      </c>
      <c r="I121">
        <f t="shared" si="30"/>
        <v>0</v>
      </c>
      <c r="J121">
        <f t="shared" si="31"/>
        <v>0</v>
      </c>
      <c r="K121" s="7" t="s">
        <v>330</v>
      </c>
    </row>
    <row r="122" spans="2:11">
      <c r="B122" t="s">
        <v>260</v>
      </c>
      <c r="C122" t="s">
        <v>263</v>
      </c>
      <c r="E122" s="7">
        <v>550</v>
      </c>
      <c r="F122">
        <f t="shared" si="28"/>
        <v>770</v>
      </c>
      <c r="G122">
        <f t="shared" si="29"/>
        <v>847.00000000000011</v>
      </c>
      <c r="I122">
        <f t="shared" si="30"/>
        <v>0</v>
      </c>
      <c r="J122">
        <f t="shared" si="31"/>
        <v>0</v>
      </c>
      <c r="K122" s="7" t="s">
        <v>296</v>
      </c>
    </row>
    <row r="123" spans="2:11">
      <c r="B123" t="s">
        <v>260</v>
      </c>
      <c r="C123" t="s">
        <v>273</v>
      </c>
      <c r="E123" s="7">
        <v>3</v>
      </c>
      <c r="F123">
        <f t="shared" si="28"/>
        <v>4.1999999999999993</v>
      </c>
      <c r="G123">
        <f t="shared" si="29"/>
        <v>4.6199999999999992</v>
      </c>
      <c r="H123" s="7">
        <v>74</v>
      </c>
      <c r="I123">
        <f t="shared" si="30"/>
        <v>103.6</v>
      </c>
      <c r="J123">
        <f t="shared" si="31"/>
        <v>113.96000000000001</v>
      </c>
      <c r="K123" s="7" t="s">
        <v>309</v>
      </c>
    </row>
    <row r="124" spans="2:11">
      <c r="B124" t="s">
        <v>260</v>
      </c>
      <c r="C124" t="s">
        <v>278</v>
      </c>
      <c r="E124" s="7">
        <v>6</v>
      </c>
      <c r="F124">
        <f t="shared" si="28"/>
        <v>8.3999999999999986</v>
      </c>
      <c r="G124">
        <f t="shared" si="29"/>
        <v>9.2399999999999984</v>
      </c>
      <c r="H124" s="7">
        <v>140</v>
      </c>
      <c r="I124">
        <f t="shared" si="30"/>
        <v>196</v>
      </c>
      <c r="J124">
        <f t="shared" si="31"/>
        <v>215.60000000000002</v>
      </c>
      <c r="K124" s="7" t="s">
        <v>314</v>
      </c>
    </row>
    <row r="125" spans="2:11">
      <c r="B125" t="s">
        <v>260</v>
      </c>
      <c r="C125" t="s">
        <v>285</v>
      </c>
      <c r="E125" s="7">
        <v>5</v>
      </c>
      <c r="F125">
        <f t="shared" si="28"/>
        <v>7</v>
      </c>
      <c r="G125">
        <f t="shared" si="29"/>
        <v>7.7000000000000011</v>
      </c>
      <c r="H125" s="7">
        <v>20</v>
      </c>
      <c r="I125">
        <f t="shared" si="30"/>
        <v>28</v>
      </c>
      <c r="J125">
        <f t="shared" si="31"/>
        <v>30.800000000000004</v>
      </c>
      <c r="K125" s="7" t="s">
        <v>323</v>
      </c>
    </row>
    <row r="126" spans="2:11">
      <c r="B126" t="s">
        <v>260</v>
      </c>
      <c r="C126" t="s">
        <v>271</v>
      </c>
      <c r="E126" s="7">
        <v>6</v>
      </c>
      <c r="F126">
        <f t="shared" si="28"/>
        <v>8.3999999999999986</v>
      </c>
      <c r="G126">
        <f t="shared" si="29"/>
        <v>9.2399999999999984</v>
      </c>
      <c r="H126" s="7">
        <v>120</v>
      </c>
      <c r="I126">
        <f t="shared" si="30"/>
        <v>168</v>
      </c>
      <c r="J126">
        <f t="shared" si="31"/>
        <v>184.8</v>
      </c>
      <c r="K126" s="7" t="s">
        <v>307</v>
      </c>
    </row>
    <row r="127" spans="2:11">
      <c r="B127" t="s">
        <v>260</v>
      </c>
      <c r="C127" t="s">
        <v>276</v>
      </c>
      <c r="E127" s="7">
        <v>2</v>
      </c>
      <c r="F127">
        <f t="shared" si="28"/>
        <v>2.8</v>
      </c>
      <c r="G127">
        <f t="shared" si="29"/>
        <v>3.08</v>
      </c>
      <c r="H127" s="7">
        <v>9</v>
      </c>
      <c r="I127">
        <f t="shared" si="30"/>
        <v>12.6</v>
      </c>
      <c r="J127">
        <f t="shared" si="31"/>
        <v>13.860000000000001</v>
      </c>
      <c r="K127" s="7" t="s">
        <v>312</v>
      </c>
    </row>
    <row r="128" spans="2:11">
      <c r="B128" t="s">
        <v>260</v>
      </c>
      <c r="C128" t="s">
        <v>268</v>
      </c>
      <c r="E128" s="7">
        <v>150</v>
      </c>
      <c r="F128">
        <f t="shared" si="28"/>
        <v>210</v>
      </c>
      <c r="G128">
        <f t="shared" si="29"/>
        <v>231.00000000000003</v>
      </c>
      <c r="H128" s="7">
        <v>530</v>
      </c>
      <c r="I128">
        <f t="shared" si="30"/>
        <v>742</v>
      </c>
      <c r="J128">
        <f t="shared" si="31"/>
        <v>816.2</v>
      </c>
      <c r="K128" s="7" t="s">
        <v>303</v>
      </c>
    </row>
    <row r="129" spans="1:11">
      <c r="B129" t="s">
        <v>260</v>
      </c>
      <c r="C129" t="s">
        <v>262</v>
      </c>
      <c r="E129" s="7">
        <v>450</v>
      </c>
      <c r="F129">
        <f t="shared" si="28"/>
        <v>630</v>
      </c>
      <c r="G129">
        <f t="shared" si="29"/>
        <v>693</v>
      </c>
      <c r="I129">
        <f t="shared" si="30"/>
        <v>0</v>
      </c>
      <c r="J129">
        <f t="shared" si="31"/>
        <v>0</v>
      </c>
      <c r="K129" s="7" t="s">
        <v>295</v>
      </c>
    </row>
    <row r="130" spans="1:11">
      <c r="B130" t="s">
        <v>260</v>
      </c>
      <c r="C130" t="s">
        <v>286</v>
      </c>
      <c r="E130" s="7">
        <v>19</v>
      </c>
      <c r="F130">
        <f t="shared" si="28"/>
        <v>26.599999999999998</v>
      </c>
      <c r="G130">
        <f t="shared" si="29"/>
        <v>29.26</v>
      </c>
      <c r="H130" s="7">
        <v>180</v>
      </c>
      <c r="I130">
        <f t="shared" si="30"/>
        <v>251.99999999999997</v>
      </c>
      <c r="J130">
        <f t="shared" si="31"/>
        <v>277.2</v>
      </c>
      <c r="K130" s="7" t="s">
        <v>324</v>
      </c>
    </row>
    <row r="131" spans="1:11">
      <c r="B131" t="s">
        <v>260</v>
      </c>
      <c r="C131" t="s">
        <v>333</v>
      </c>
      <c r="E131" s="7">
        <v>10</v>
      </c>
      <c r="F131">
        <f t="shared" si="28"/>
        <v>14</v>
      </c>
      <c r="G131">
        <f t="shared" si="29"/>
        <v>15.400000000000002</v>
      </c>
      <c r="H131" s="7">
        <v>120</v>
      </c>
      <c r="I131">
        <f t="shared" si="30"/>
        <v>168</v>
      </c>
      <c r="J131">
        <f t="shared" si="31"/>
        <v>184.8</v>
      </c>
      <c r="K131" s="7" t="s">
        <v>324</v>
      </c>
    </row>
    <row r="132" spans="1:11">
      <c r="F132">
        <f t="shared" ref="F132:F140" si="32">E132*1.4</f>
        <v>0</v>
      </c>
      <c r="G132">
        <f t="shared" ref="G132:G140" si="33">F132*1.1</f>
        <v>0</v>
      </c>
      <c r="I132">
        <f t="shared" ref="I132:I140" si="34">H132*1.4</f>
        <v>0</v>
      </c>
      <c r="J132">
        <f t="shared" ref="J132:J140" si="35">I132*1.1</f>
        <v>0</v>
      </c>
    </row>
    <row r="133" spans="1:11">
      <c r="B133" t="s">
        <v>341</v>
      </c>
      <c r="C133" t="s">
        <v>342</v>
      </c>
      <c r="D133" s="3" t="s">
        <v>343</v>
      </c>
      <c r="E133" s="7">
        <v>122</v>
      </c>
      <c r="F133">
        <f t="shared" si="32"/>
        <v>170.79999999999998</v>
      </c>
      <c r="G133">
        <f t="shared" si="33"/>
        <v>187.88</v>
      </c>
      <c r="H133" s="7">
        <v>2100</v>
      </c>
      <c r="I133">
        <f t="shared" si="34"/>
        <v>2940</v>
      </c>
      <c r="J133">
        <f t="shared" si="35"/>
        <v>3234.0000000000005</v>
      </c>
      <c r="K133" s="7" t="s">
        <v>344</v>
      </c>
    </row>
    <row r="134" spans="1:11">
      <c r="F134">
        <f t="shared" si="32"/>
        <v>0</v>
      </c>
      <c r="G134">
        <f t="shared" si="33"/>
        <v>0</v>
      </c>
      <c r="I134">
        <f t="shared" si="34"/>
        <v>0</v>
      </c>
      <c r="J134">
        <f t="shared" si="35"/>
        <v>0</v>
      </c>
    </row>
    <row r="135" spans="1:11">
      <c r="A135" t="s">
        <v>1308</v>
      </c>
      <c r="B135" t="s">
        <v>345</v>
      </c>
      <c r="C135" t="s">
        <v>350</v>
      </c>
      <c r="E135" s="7">
        <v>37</v>
      </c>
      <c r="F135">
        <f t="shared" si="32"/>
        <v>51.8</v>
      </c>
      <c r="G135">
        <f t="shared" si="33"/>
        <v>56.980000000000004</v>
      </c>
      <c r="I135">
        <f t="shared" si="34"/>
        <v>0</v>
      </c>
      <c r="J135">
        <f t="shared" si="35"/>
        <v>0</v>
      </c>
      <c r="K135" s="7" t="s">
        <v>348</v>
      </c>
    </row>
    <row r="136" spans="1:11">
      <c r="B136" t="s">
        <v>345</v>
      </c>
      <c r="C136" t="s">
        <v>347</v>
      </c>
      <c r="D136" s="3" t="s">
        <v>346</v>
      </c>
      <c r="E136" s="7">
        <v>15</v>
      </c>
      <c r="F136">
        <f t="shared" si="32"/>
        <v>21</v>
      </c>
      <c r="G136">
        <f t="shared" si="33"/>
        <v>23.1</v>
      </c>
      <c r="I136">
        <f t="shared" si="34"/>
        <v>0</v>
      </c>
      <c r="J136">
        <f t="shared" si="35"/>
        <v>0</v>
      </c>
    </row>
    <row r="137" spans="1:11">
      <c r="B137" t="s">
        <v>345</v>
      </c>
      <c r="C137" t="s">
        <v>349</v>
      </c>
      <c r="E137" s="7">
        <v>7</v>
      </c>
      <c r="F137">
        <f t="shared" si="32"/>
        <v>9.7999999999999989</v>
      </c>
      <c r="G137">
        <f t="shared" si="33"/>
        <v>10.78</v>
      </c>
      <c r="I137">
        <f t="shared" si="34"/>
        <v>0</v>
      </c>
      <c r="J137">
        <f t="shared" si="35"/>
        <v>0</v>
      </c>
      <c r="K137" s="7" t="s">
        <v>351</v>
      </c>
    </row>
    <row r="138" spans="1:11">
      <c r="B138" t="s">
        <v>345</v>
      </c>
      <c r="C138" t="s">
        <v>352</v>
      </c>
      <c r="E138" s="7">
        <v>2</v>
      </c>
      <c r="F138">
        <f t="shared" si="32"/>
        <v>2.8</v>
      </c>
      <c r="G138">
        <f t="shared" si="33"/>
        <v>3.08</v>
      </c>
      <c r="I138">
        <f t="shared" si="34"/>
        <v>0</v>
      </c>
      <c r="J138">
        <f t="shared" si="35"/>
        <v>0</v>
      </c>
      <c r="K138" s="7" t="s">
        <v>353</v>
      </c>
    </row>
    <row r="139" spans="1:11">
      <c r="F139">
        <f t="shared" si="32"/>
        <v>0</v>
      </c>
      <c r="G139">
        <f t="shared" si="33"/>
        <v>0</v>
      </c>
      <c r="I139">
        <f t="shared" si="34"/>
        <v>0</v>
      </c>
      <c r="J139">
        <f t="shared" si="35"/>
        <v>0</v>
      </c>
    </row>
    <row r="140" spans="1:11" ht="23.25">
      <c r="A140" s="1" t="s">
        <v>354</v>
      </c>
      <c r="F140">
        <f t="shared" si="32"/>
        <v>0</v>
      </c>
      <c r="G140">
        <f t="shared" si="33"/>
        <v>0</v>
      </c>
      <c r="I140">
        <f t="shared" si="34"/>
        <v>0</v>
      </c>
      <c r="J140">
        <f t="shared" si="35"/>
        <v>0</v>
      </c>
    </row>
    <row r="141" spans="1:11">
      <c r="B141" t="s">
        <v>355</v>
      </c>
      <c r="C141" t="s">
        <v>427</v>
      </c>
      <c r="E141" s="7">
        <v>24</v>
      </c>
      <c r="F141">
        <f t="shared" ref="F141:F172" si="36">E141*1.4</f>
        <v>33.599999999999994</v>
      </c>
      <c r="G141">
        <f t="shared" ref="G141:G172" si="37">F141*1.1</f>
        <v>36.959999999999994</v>
      </c>
      <c r="I141">
        <f t="shared" ref="I141:I172" si="38">H141*1.4</f>
        <v>0</v>
      </c>
      <c r="J141">
        <f t="shared" ref="J141:J172" si="39">I141*1.1</f>
        <v>0</v>
      </c>
      <c r="K141" s="7" t="s">
        <v>620</v>
      </c>
    </row>
    <row r="142" spans="1:11">
      <c r="B142" t="s">
        <v>355</v>
      </c>
      <c r="C142" t="s">
        <v>422</v>
      </c>
      <c r="E142" s="7">
        <v>40</v>
      </c>
      <c r="F142">
        <f t="shared" si="36"/>
        <v>56</v>
      </c>
      <c r="G142">
        <f t="shared" si="37"/>
        <v>61.600000000000009</v>
      </c>
      <c r="H142" s="7">
        <v>1700</v>
      </c>
      <c r="I142">
        <f t="shared" si="38"/>
        <v>2380</v>
      </c>
      <c r="J142">
        <f t="shared" si="39"/>
        <v>2618</v>
      </c>
      <c r="K142" s="7" t="s">
        <v>613</v>
      </c>
    </row>
    <row r="143" spans="1:11">
      <c r="B143" t="s">
        <v>355</v>
      </c>
      <c r="C143" t="s">
        <v>360</v>
      </c>
      <c r="D143" s="3" t="s">
        <v>489</v>
      </c>
      <c r="E143" s="7">
        <v>35</v>
      </c>
      <c r="F143">
        <f t="shared" si="36"/>
        <v>49</v>
      </c>
      <c r="G143">
        <f t="shared" si="37"/>
        <v>53.900000000000006</v>
      </c>
      <c r="H143" s="7">
        <v>900</v>
      </c>
      <c r="I143">
        <f t="shared" si="38"/>
        <v>1260</v>
      </c>
      <c r="J143">
        <f t="shared" si="39"/>
        <v>1386</v>
      </c>
      <c r="K143" s="7" t="s">
        <v>490</v>
      </c>
    </row>
    <row r="144" spans="1:11">
      <c r="B144" t="s">
        <v>355</v>
      </c>
      <c r="C144" t="s">
        <v>446</v>
      </c>
      <c r="E144" s="7">
        <v>75</v>
      </c>
      <c r="F144">
        <f t="shared" si="36"/>
        <v>105</v>
      </c>
      <c r="G144">
        <f t="shared" si="37"/>
        <v>115.50000000000001</v>
      </c>
      <c r="H144" s="7">
        <v>5000</v>
      </c>
      <c r="I144">
        <f t="shared" si="38"/>
        <v>7000</v>
      </c>
      <c r="J144">
        <f t="shared" si="39"/>
        <v>7700.0000000000009</v>
      </c>
      <c r="K144" s="7" t="s">
        <v>636</v>
      </c>
    </row>
    <row r="145" spans="2:11">
      <c r="B145" t="s">
        <v>355</v>
      </c>
      <c r="C145" t="s">
        <v>378</v>
      </c>
      <c r="E145" s="7">
        <v>100</v>
      </c>
      <c r="F145">
        <f t="shared" si="36"/>
        <v>140</v>
      </c>
      <c r="G145">
        <f t="shared" si="37"/>
        <v>154</v>
      </c>
      <c r="H145" s="7">
        <v>5900</v>
      </c>
      <c r="I145">
        <f t="shared" si="38"/>
        <v>8260</v>
      </c>
      <c r="J145">
        <f t="shared" si="39"/>
        <v>9086</v>
      </c>
      <c r="K145" s="7" t="s">
        <v>588</v>
      </c>
    </row>
    <row r="146" spans="2:11">
      <c r="B146" t="s">
        <v>652</v>
      </c>
      <c r="C146" t="s">
        <v>440</v>
      </c>
      <c r="E146" s="7">
        <v>30</v>
      </c>
      <c r="F146">
        <f t="shared" si="36"/>
        <v>42</v>
      </c>
      <c r="G146">
        <f t="shared" si="37"/>
        <v>46.2</v>
      </c>
      <c r="H146" s="7">
        <v>1500</v>
      </c>
      <c r="I146">
        <f t="shared" si="38"/>
        <v>2100</v>
      </c>
      <c r="J146">
        <f t="shared" si="39"/>
        <v>2310</v>
      </c>
      <c r="K146" s="7" t="s">
        <v>651</v>
      </c>
    </row>
    <row r="147" spans="2:11">
      <c r="B147" t="s">
        <v>355</v>
      </c>
      <c r="C147" t="s">
        <v>421</v>
      </c>
      <c r="E147" s="7">
        <v>70</v>
      </c>
      <c r="F147">
        <f t="shared" si="36"/>
        <v>98</v>
      </c>
      <c r="G147">
        <f t="shared" si="37"/>
        <v>107.80000000000001</v>
      </c>
      <c r="H147" s="7">
        <v>2345</v>
      </c>
      <c r="I147">
        <f t="shared" si="38"/>
        <v>3283</v>
      </c>
      <c r="J147">
        <f t="shared" si="39"/>
        <v>3611.3</v>
      </c>
      <c r="K147" s="7" t="s">
        <v>614</v>
      </c>
    </row>
    <row r="148" spans="2:11">
      <c r="B148" t="s">
        <v>355</v>
      </c>
      <c r="C148" t="s">
        <v>377</v>
      </c>
      <c r="E148" s="7">
        <v>225</v>
      </c>
      <c r="F148">
        <f t="shared" si="36"/>
        <v>315</v>
      </c>
      <c r="G148">
        <f t="shared" si="37"/>
        <v>346.5</v>
      </c>
      <c r="H148" s="7">
        <v>3500</v>
      </c>
      <c r="I148">
        <f t="shared" si="38"/>
        <v>4900</v>
      </c>
      <c r="J148">
        <f t="shared" si="39"/>
        <v>5390</v>
      </c>
      <c r="K148" s="7" t="s">
        <v>587</v>
      </c>
    </row>
    <row r="149" spans="2:11">
      <c r="B149" t="s">
        <v>355</v>
      </c>
      <c r="C149" t="s">
        <v>386</v>
      </c>
      <c r="E149" s="7">
        <v>25</v>
      </c>
      <c r="F149">
        <f t="shared" si="36"/>
        <v>35</v>
      </c>
      <c r="G149">
        <f t="shared" si="37"/>
        <v>38.5</v>
      </c>
      <c r="H149" s="7">
        <v>999</v>
      </c>
      <c r="I149">
        <f t="shared" si="38"/>
        <v>1398.6</v>
      </c>
      <c r="J149">
        <f t="shared" si="39"/>
        <v>1538.46</v>
      </c>
      <c r="K149" s="7" t="s">
        <v>503</v>
      </c>
    </row>
    <row r="150" spans="2:11">
      <c r="B150" t="s">
        <v>355</v>
      </c>
      <c r="C150" t="s">
        <v>419</v>
      </c>
      <c r="E150" s="7">
        <v>40</v>
      </c>
      <c r="F150">
        <f t="shared" si="36"/>
        <v>56</v>
      </c>
      <c r="G150">
        <f t="shared" si="37"/>
        <v>61.600000000000009</v>
      </c>
      <c r="H150" s="7">
        <v>2099</v>
      </c>
      <c r="I150">
        <f t="shared" si="38"/>
        <v>2938.6</v>
      </c>
      <c r="J150">
        <f t="shared" si="39"/>
        <v>3232.46</v>
      </c>
      <c r="K150" s="7" t="s">
        <v>612</v>
      </c>
    </row>
    <row r="151" spans="2:11">
      <c r="B151" t="s">
        <v>355</v>
      </c>
      <c r="C151" t="s">
        <v>428</v>
      </c>
      <c r="E151" s="7">
        <v>25</v>
      </c>
      <c r="F151">
        <f t="shared" si="36"/>
        <v>35</v>
      </c>
      <c r="G151">
        <f t="shared" si="37"/>
        <v>38.5</v>
      </c>
      <c r="H151" s="7">
        <v>600</v>
      </c>
      <c r="I151">
        <f t="shared" si="38"/>
        <v>840</v>
      </c>
      <c r="J151">
        <f t="shared" si="39"/>
        <v>924.00000000000011</v>
      </c>
      <c r="K151" s="7" t="s">
        <v>621</v>
      </c>
    </row>
    <row r="152" spans="2:11">
      <c r="B152" t="s">
        <v>355</v>
      </c>
      <c r="C152" t="s">
        <v>373</v>
      </c>
      <c r="E152" s="7">
        <v>275</v>
      </c>
      <c r="F152">
        <f t="shared" si="36"/>
        <v>385</v>
      </c>
      <c r="G152">
        <f t="shared" si="37"/>
        <v>423.50000000000006</v>
      </c>
      <c r="H152" s="7">
        <v>22000</v>
      </c>
      <c r="I152">
        <f t="shared" si="38"/>
        <v>30799.999999999996</v>
      </c>
      <c r="J152">
        <f t="shared" si="39"/>
        <v>33880</v>
      </c>
      <c r="K152" s="7" t="s">
        <v>513</v>
      </c>
    </row>
    <row r="153" spans="2:11">
      <c r="B153" t="s">
        <v>638</v>
      </c>
      <c r="C153" t="s">
        <v>447</v>
      </c>
      <c r="E153" s="7">
        <v>150</v>
      </c>
      <c r="F153">
        <f t="shared" si="36"/>
        <v>210</v>
      </c>
      <c r="G153">
        <f t="shared" si="37"/>
        <v>231.00000000000003</v>
      </c>
      <c r="H153" s="7">
        <v>5000</v>
      </c>
      <c r="I153">
        <f t="shared" si="38"/>
        <v>7000</v>
      </c>
      <c r="J153">
        <f t="shared" si="39"/>
        <v>7700.0000000000009</v>
      </c>
      <c r="K153" s="7" t="s">
        <v>637</v>
      </c>
    </row>
    <row r="154" spans="2:11">
      <c r="B154" t="s">
        <v>355</v>
      </c>
      <c r="C154" t="s">
        <v>420</v>
      </c>
      <c r="E154" s="7">
        <v>18</v>
      </c>
      <c r="F154">
        <f t="shared" si="36"/>
        <v>25.2</v>
      </c>
      <c r="G154">
        <f t="shared" si="37"/>
        <v>27.720000000000002</v>
      </c>
      <c r="I154">
        <f t="shared" si="38"/>
        <v>0</v>
      </c>
      <c r="J154">
        <f t="shared" si="39"/>
        <v>0</v>
      </c>
      <c r="K154" s="7" t="s">
        <v>615</v>
      </c>
    </row>
    <row r="155" spans="2:11">
      <c r="B155" t="s">
        <v>355</v>
      </c>
      <c r="C155" t="s">
        <v>388</v>
      </c>
      <c r="D155" s="3" t="s">
        <v>495</v>
      </c>
      <c r="E155" s="7">
        <v>30</v>
      </c>
      <c r="F155">
        <f t="shared" si="36"/>
        <v>42</v>
      </c>
      <c r="G155">
        <f t="shared" si="37"/>
        <v>46.2</v>
      </c>
      <c r="H155" s="7">
        <v>1600</v>
      </c>
      <c r="I155">
        <f t="shared" si="38"/>
        <v>2240</v>
      </c>
      <c r="J155">
        <f t="shared" si="39"/>
        <v>2464</v>
      </c>
      <c r="K155" s="7" t="s">
        <v>496</v>
      </c>
    </row>
    <row r="156" spans="2:11">
      <c r="B156" t="s">
        <v>355</v>
      </c>
      <c r="C156" t="s">
        <v>374</v>
      </c>
      <c r="E156" s="7">
        <v>375</v>
      </c>
      <c r="F156">
        <f t="shared" si="36"/>
        <v>525</v>
      </c>
      <c r="G156">
        <f t="shared" si="37"/>
        <v>577.5</v>
      </c>
      <c r="H156" s="7">
        <v>29500</v>
      </c>
      <c r="I156">
        <f t="shared" si="38"/>
        <v>41300</v>
      </c>
      <c r="J156">
        <f t="shared" si="39"/>
        <v>45430.000000000007</v>
      </c>
      <c r="K156" s="7" t="s">
        <v>584</v>
      </c>
    </row>
    <row r="157" spans="2:11">
      <c r="B157" t="s">
        <v>355</v>
      </c>
      <c r="C157" t="s">
        <v>408</v>
      </c>
      <c r="E157" s="7">
        <v>28</v>
      </c>
      <c r="F157">
        <f t="shared" si="36"/>
        <v>39.199999999999996</v>
      </c>
      <c r="G157">
        <f t="shared" si="37"/>
        <v>43.12</v>
      </c>
      <c r="H157" s="7">
        <v>800</v>
      </c>
      <c r="I157">
        <f t="shared" si="38"/>
        <v>1120</v>
      </c>
      <c r="J157">
        <f t="shared" si="39"/>
        <v>1232</v>
      </c>
      <c r="K157" s="7" t="s">
        <v>594</v>
      </c>
    </row>
    <row r="158" spans="2:11">
      <c r="B158" t="s">
        <v>355</v>
      </c>
      <c r="C158" t="s">
        <v>429</v>
      </c>
      <c r="E158" s="7">
        <v>25</v>
      </c>
      <c r="F158">
        <f t="shared" si="36"/>
        <v>35</v>
      </c>
      <c r="G158">
        <f t="shared" si="37"/>
        <v>38.5</v>
      </c>
      <c r="H158" s="7">
        <v>600</v>
      </c>
      <c r="I158">
        <f t="shared" si="38"/>
        <v>840</v>
      </c>
      <c r="J158">
        <f t="shared" si="39"/>
        <v>924.00000000000011</v>
      </c>
      <c r="K158" s="7" t="s">
        <v>622</v>
      </c>
    </row>
    <row r="159" spans="2:11">
      <c r="B159" t="s">
        <v>355</v>
      </c>
      <c r="C159" t="s">
        <v>385</v>
      </c>
      <c r="E159" s="7">
        <v>20</v>
      </c>
      <c r="F159">
        <f t="shared" si="36"/>
        <v>28</v>
      </c>
      <c r="G159">
        <f t="shared" si="37"/>
        <v>30.800000000000004</v>
      </c>
      <c r="H159" s="7">
        <v>500</v>
      </c>
      <c r="I159">
        <f t="shared" si="38"/>
        <v>700</v>
      </c>
      <c r="J159">
        <f t="shared" si="39"/>
        <v>770.00000000000011</v>
      </c>
      <c r="K159" s="7" t="s">
        <v>504</v>
      </c>
    </row>
    <row r="160" spans="2:11">
      <c r="B160" t="s">
        <v>355</v>
      </c>
      <c r="C160" t="s">
        <v>430</v>
      </c>
      <c r="E160" s="7">
        <v>12</v>
      </c>
      <c r="F160">
        <f t="shared" si="36"/>
        <v>16.799999999999997</v>
      </c>
      <c r="G160">
        <f t="shared" si="37"/>
        <v>18.479999999999997</v>
      </c>
      <c r="H160" s="7">
        <v>200</v>
      </c>
      <c r="I160">
        <f t="shared" si="38"/>
        <v>280</v>
      </c>
      <c r="J160">
        <f t="shared" si="39"/>
        <v>308</v>
      </c>
      <c r="K160" s="7" t="s">
        <v>623</v>
      </c>
    </row>
    <row r="161" spans="2:11">
      <c r="B161" t="s">
        <v>355</v>
      </c>
      <c r="C161" t="s">
        <v>417</v>
      </c>
      <c r="E161" s="7">
        <v>45</v>
      </c>
      <c r="F161">
        <f t="shared" si="36"/>
        <v>62.999999999999993</v>
      </c>
      <c r="G161">
        <f t="shared" si="37"/>
        <v>69.3</v>
      </c>
      <c r="H161" s="7">
        <v>1200</v>
      </c>
      <c r="I161">
        <f t="shared" si="38"/>
        <v>1680</v>
      </c>
      <c r="J161">
        <f t="shared" si="39"/>
        <v>1848.0000000000002</v>
      </c>
      <c r="K161" s="7" t="s">
        <v>610</v>
      </c>
    </row>
    <row r="162" spans="2:11">
      <c r="B162" t="s">
        <v>355</v>
      </c>
      <c r="C162" t="s">
        <v>435</v>
      </c>
      <c r="E162" s="7">
        <v>262</v>
      </c>
      <c r="F162">
        <f t="shared" si="36"/>
        <v>366.79999999999995</v>
      </c>
      <c r="G162">
        <f t="shared" si="37"/>
        <v>403.47999999999996</v>
      </c>
      <c r="H162" s="7">
        <v>8000</v>
      </c>
      <c r="I162">
        <f t="shared" si="38"/>
        <v>11200</v>
      </c>
      <c r="J162">
        <f t="shared" si="39"/>
        <v>12320.000000000002</v>
      </c>
      <c r="K162" s="7" t="s">
        <v>629</v>
      </c>
    </row>
    <row r="163" spans="2:11">
      <c r="B163" t="s">
        <v>355</v>
      </c>
      <c r="C163" t="s">
        <v>451</v>
      </c>
      <c r="E163" s="7">
        <v>150</v>
      </c>
      <c r="F163">
        <f t="shared" si="36"/>
        <v>210</v>
      </c>
      <c r="G163">
        <f t="shared" si="37"/>
        <v>231.00000000000003</v>
      </c>
      <c r="H163" s="7">
        <v>3000</v>
      </c>
      <c r="I163">
        <f t="shared" si="38"/>
        <v>4200</v>
      </c>
      <c r="J163">
        <f t="shared" si="39"/>
        <v>4620</v>
      </c>
      <c r="K163" s="7" t="s">
        <v>643</v>
      </c>
    </row>
    <row r="164" spans="2:11">
      <c r="B164" t="s">
        <v>355</v>
      </c>
      <c r="C164" t="s">
        <v>434</v>
      </c>
      <c r="D164" s="3" t="s">
        <v>627</v>
      </c>
      <c r="E164" s="7">
        <v>100</v>
      </c>
      <c r="F164">
        <f t="shared" si="36"/>
        <v>140</v>
      </c>
      <c r="G164">
        <f t="shared" si="37"/>
        <v>154</v>
      </c>
      <c r="H164" s="7">
        <v>5299</v>
      </c>
      <c r="I164">
        <f t="shared" si="38"/>
        <v>7418.5999999999995</v>
      </c>
      <c r="J164">
        <f t="shared" si="39"/>
        <v>8160.46</v>
      </c>
      <c r="K164" s="7" t="s">
        <v>628</v>
      </c>
    </row>
    <row r="165" spans="2:11">
      <c r="B165" t="s">
        <v>355</v>
      </c>
      <c r="C165" t="s">
        <v>391</v>
      </c>
      <c r="D165" s="3" t="s">
        <v>479</v>
      </c>
      <c r="E165" s="7">
        <v>125</v>
      </c>
      <c r="F165">
        <f t="shared" si="36"/>
        <v>175</v>
      </c>
      <c r="G165">
        <f t="shared" si="37"/>
        <v>192.50000000000003</v>
      </c>
      <c r="H165" s="7">
        <v>10999</v>
      </c>
      <c r="I165">
        <f t="shared" si="38"/>
        <v>15398.599999999999</v>
      </c>
      <c r="J165">
        <f t="shared" si="39"/>
        <v>16938.46</v>
      </c>
      <c r="K165" s="7" t="s">
        <v>480</v>
      </c>
    </row>
    <row r="166" spans="2:11">
      <c r="B166" t="s">
        <v>355</v>
      </c>
      <c r="C166" t="s">
        <v>411</v>
      </c>
      <c r="E166" s="7">
        <v>30</v>
      </c>
      <c r="F166">
        <f t="shared" si="36"/>
        <v>42</v>
      </c>
      <c r="G166">
        <f t="shared" si="37"/>
        <v>46.2</v>
      </c>
      <c r="H166" s="7">
        <v>750</v>
      </c>
      <c r="I166">
        <f t="shared" si="38"/>
        <v>1050</v>
      </c>
      <c r="J166">
        <f t="shared" si="39"/>
        <v>1155</v>
      </c>
      <c r="K166" s="7" t="s">
        <v>597</v>
      </c>
    </row>
    <row r="167" spans="2:11">
      <c r="B167" t="s">
        <v>355</v>
      </c>
      <c r="C167" t="s">
        <v>423</v>
      </c>
      <c r="E167" s="7">
        <v>25</v>
      </c>
      <c r="F167">
        <f t="shared" si="36"/>
        <v>35</v>
      </c>
      <c r="G167">
        <f t="shared" si="37"/>
        <v>38.5</v>
      </c>
      <c r="H167" s="7">
        <v>540</v>
      </c>
      <c r="I167">
        <f t="shared" si="38"/>
        <v>756</v>
      </c>
      <c r="J167">
        <f t="shared" si="39"/>
        <v>831.6</v>
      </c>
      <c r="K167" s="7" t="s">
        <v>616</v>
      </c>
    </row>
    <row r="168" spans="2:11">
      <c r="B168" t="s">
        <v>355</v>
      </c>
      <c r="C168" t="s">
        <v>390</v>
      </c>
      <c r="D168" s="3" t="s">
        <v>491</v>
      </c>
      <c r="E168" s="7">
        <v>25</v>
      </c>
      <c r="F168">
        <f t="shared" si="36"/>
        <v>35</v>
      </c>
      <c r="G168">
        <f t="shared" si="37"/>
        <v>38.5</v>
      </c>
      <c r="H168" s="7">
        <v>1000</v>
      </c>
      <c r="I168">
        <f t="shared" si="38"/>
        <v>1400</v>
      </c>
      <c r="J168">
        <f t="shared" si="39"/>
        <v>1540.0000000000002</v>
      </c>
      <c r="K168" s="7" t="s">
        <v>492</v>
      </c>
    </row>
    <row r="169" spans="2:11">
      <c r="B169" t="s">
        <v>355</v>
      </c>
      <c r="C169" t="s">
        <v>450</v>
      </c>
      <c r="E169" s="7">
        <v>22</v>
      </c>
      <c r="F169">
        <f t="shared" si="36"/>
        <v>30.799999999999997</v>
      </c>
      <c r="G169">
        <f t="shared" si="37"/>
        <v>33.880000000000003</v>
      </c>
      <c r="H169" s="7">
        <v>600</v>
      </c>
      <c r="I169">
        <f t="shared" si="38"/>
        <v>840</v>
      </c>
      <c r="J169">
        <f t="shared" si="39"/>
        <v>924.00000000000011</v>
      </c>
      <c r="K169" s="7" t="s">
        <v>642</v>
      </c>
    </row>
    <row r="170" spans="2:11">
      <c r="B170" t="s">
        <v>355</v>
      </c>
      <c r="C170" t="s">
        <v>397</v>
      </c>
      <c r="D170" s="3" t="s">
        <v>459</v>
      </c>
      <c r="E170" s="7">
        <v>30</v>
      </c>
      <c r="F170">
        <f t="shared" si="36"/>
        <v>42</v>
      </c>
      <c r="G170">
        <f t="shared" si="37"/>
        <v>46.2</v>
      </c>
      <c r="H170" s="7">
        <v>1763.95</v>
      </c>
      <c r="I170">
        <f t="shared" si="38"/>
        <v>2469.5299999999997</v>
      </c>
      <c r="J170">
        <f t="shared" si="39"/>
        <v>2716.4829999999997</v>
      </c>
      <c r="K170" s="7" t="s">
        <v>460</v>
      </c>
    </row>
    <row r="171" spans="2:11">
      <c r="B171" t="s">
        <v>355</v>
      </c>
      <c r="C171" t="s">
        <v>448</v>
      </c>
      <c r="D171" s="3" t="s">
        <v>639</v>
      </c>
      <c r="E171" s="7">
        <v>32</v>
      </c>
      <c r="F171">
        <f t="shared" si="36"/>
        <v>44.8</v>
      </c>
      <c r="G171">
        <f t="shared" si="37"/>
        <v>49.28</v>
      </c>
      <c r="H171" s="7">
        <v>1900</v>
      </c>
      <c r="I171">
        <f t="shared" si="38"/>
        <v>2660</v>
      </c>
      <c r="J171">
        <f t="shared" si="39"/>
        <v>2926.0000000000005</v>
      </c>
      <c r="K171" s="7" t="s">
        <v>640</v>
      </c>
    </row>
    <row r="172" spans="2:11">
      <c r="B172" t="s">
        <v>355</v>
      </c>
      <c r="C172" t="s">
        <v>364</v>
      </c>
      <c r="E172" s="7">
        <v>35</v>
      </c>
      <c r="F172">
        <f t="shared" si="36"/>
        <v>49</v>
      </c>
      <c r="G172">
        <f t="shared" si="37"/>
        <v>53.900000000000006</v>
      </c>
      <c r="I172">
        <f t="shared" si="38"/>
        <v>0</v>
      </c>
      <c r="J172">
        <f t="shared" si="39"/>
        <v>0</v>
      </c>
      <c r="K172" s="7" t="s">
        <v>505</v>
      </c>
    </row>
    <row r="173" spans="2:11">
      <c r="B173" t="s">
        <v>355</v>
      </c>
      <c r="C173" t="s">
        <v>455</v>
      </c>
      <c r="E173" s="7">
        <v>90</v>
      </c>
      <c r="F173">
        <f t="shared" ref="F173:F204" si="40">E173*1.4</f>
        <v>125.99999999999999</v>
      </c>
      <c r="G173">
        <f t="shared" ref="G173:G204" si="41">F173*1.1</f>
        <v>138.6</v>
      </c>
      <c r="H173" s="7">
        <v>5220</v>
      </c>
      <c r="I173">
        <f t="shared" ref="I173:I204" si="42">H173*1.4</f>
        <v>7307.9999999999991</v>
      </c>
      <c r="J173">
        <f t="shared" ref="J173:J204" si="43">I173*1.1</f>
        <v>8038.7999999999993</v>
      </c>
      <c r="K173" s="7" t="s">
        <v>647</v>
      </c>
    </row>
    <row r="174" spans="2:11">
      <c r="B174" t="s">
        <v>355</v>
      </c>
      <c r="C174" t="s">
        <v>376</v>
      </c>
      <c r="E174" s="7">
        <v>200</v>
      </c>
      <c r="F174">
        <f t="shared" si="40"/>
        <v>280</v>
      </c>
      <c r="G174">
        <f t="shared" si="41"/>
        <v>308</v>
      </c>
      <c r="H174" s="7">
        <v>16000</v>
      </c>
      <c r="I174">
        <f t="shared" si="42"/>
        <v>22400</v>
      </c>
      <c r="J174">
        <f t="shared" si="43"/>
        <v>24640.000000000004</v>
      </c>
      <c r="K174" s="7" t="s">
        <v>586</v>
      </c>
    </row>
    <row r="175" spans="2:11">
      <c r="B175" t="s">
        <v>355</v>
      </c>
      <c r="C175" t="s">
        <v>424</v>
      </c>
      <c r="E175" s="7">
        <v>19</v>
      </c>
      <c r="F175">
        <f t="shared" si="40"/>
        <v>26.599999999999998</v>
      </c>
      <c r="G175">
        <f t="shared" si="41"/>
        <v>29.26</v>
      </c>
      <c r="H175" s="7">
        <v>480</v>
      </c>
      <c r="I175">
        <f t="shared" si="42"/>
        <v>672</v>
      </c>
      <c r="J175">
        <f t="shared" si="43"/>
        <v>739.2</v>
      </c>
      <c r="K175" s="7" t="s">
        <v>617</v>
      </c>
    </row>
    <row r="176" spans="2:11">
      <c r="B176" t="s">
        <v>355</v>
      </c>
      <c r="C176" t="s">
        <v>409</v>
      </c>
      <c r="E176" s="7">
        <v>60</v>
      </c>
      <c r="F176">
        <f t="shared" si="40"/>
        <v>84</v>
      </c>
      <c r="G176">
        <f t="shared" si="41"/>
        <v>92.4</v>
      </c>
      <c r="H176" s="7">
        <v>2449</v>
      </c>
      <c r="I176">
        <f t="shared" si="42"/>
        <v>3428.6</v>
      </c>
      <c r="J176">
        <f t="shared" si="43"/>
        <v>3771.46</v>
      </c>
      <c r="K176" s="7" t="s">
        <v>595</v>
      </c>
    </row>
    <row r="177" spans="2:11">
      <c r="B177" t="s">
        <v>355</v>
      </c>
      <c r="C177" t="s">
        <v>403</v>
      </c>
      <c r="E177" s="7">
        <v>22</v>
      </c>
      <c r="F177">
        <f t="shared" si="40"/>
        <v>30.799999999999997</v>
      </c>
      <c r="G177">
        <f t="shared" si="41"/>
        <v>33.880000000000003</v>
      </c>
      <c r="H177" s="7">
        <v>600</v>
      </c>
      <c r="I177">
        <f t="shared" si="42"/>
        <v>840</v>
      </c>
      <c r="J177">
        <f t="shared" si="43"/>
        <v>924.00000000000011</v>
      </c>
      <c r="K177" s="7" t="s">
        <v>592</v>
      </c>
    </row>
    <row r="178" spans="2:11">
      <c r="B178" t="s">
        <v>355</v>
      </c>
      <c r="C178" t="s">
        <v>403</v>
      </c>
      <c r="E178" s="7">
        <v>22</v>
      </c>
      <c r="F178">
        <f t="shared" si="40"/>
        <v>30.799999999999997</v>
      </c>
      <c r="G178">
        <f t="shared" si="41"/>
        <v>33.880000000000003</v>
      </c>
      <c r="H178" s="7">
        <v>600</v>
      </c>
      <c r="I178">
        <f t="shared" si="42"/>
        <v>840</v>
      </c>
      <c r="J178">
        <f t="shared" si="43"/>
        <v>924.00000000000011</v>
      </c>
      <c r="K178" s="7" t="s">
        <v>607</v>
      </c>
    </row>
    <row r="179" spans="2:11">
      <c r="B179" t="s">
        <v>355</v>
      </c>
      <c r="C179" t="s">
        <v>425</v>
      </c>
      <c r="E179" s="7">
        <v>25</v>
      </c>
      <c r="F179">
        <f t="shared" si="40"/>
        <v>35</v>
      </c>
      <c r="G179">
        <f t="shared" si="41"/>
        <v>38.5</v>
      </c>
      <c r="H179" s="7">
        <v>500</v>
      </c>
      <c r="I179">
        <f t="shared" si="42"/>
        <v>700</v>
      </c>
      <c r="J179">
        <f t="shared" si="43"/>
        <v>770.00000000000011</v>
      </c>
      <c r="K179" s="7" t="s">
        <v>618</v>
      </c>
    </row>
    <row r="180" spans="2:11">
      <c r="B180" t="s">
        <v>355</v>
      </c>
      <c r="C180" t="s">
        <v>375</v>
      </c>
      <c r="E180" s="7">
        <v>275</v>
      </c>
      <c r="F180">
        <f t="shared" si="40"/>
        <v>385</v>
      </c>
      <c r="G180">
        <f t="shared" si="41"/>
        <v>423.50000000000006</v>
      </c>
      <c r="H180" s="7">
        <v>22000</v>
      </c>
      <c r="I180">
        <f t="shared" si="42"/>
        <v>30799.999999999996</v>
      </c>
      <c r="J180">
        <f t="shared" si="43"/>
        <v>33880</v>
      </c>
      <c r="K180" s="7" t="s">
        <v>585</v>
      </c>
    </row>
    <row r="181" spans="2:11">
      <c r="B181" t="s">
        <v>355</v>
      </c>
      <c r="C181" t="s">
        <v>416</v>
      </c>
      <c r="E181" s="7">
        <v>385</v>
      </c>
      <c r="F181">
        <f t="shared" si="40"/>
        <v>539</v>
      </c>
      <c r="G181">
        <f t="shared" si="41"/>
        <v>592.90000000000009</v>
      </c>
      <c r="H181" s="7">
        <v>40000</v>
      </c>
      <c r="I181">
        <f t="shared" si="42"/>
        <v>56000</v>
      </c>
      <c r="J181">
        <f t="shared" si="43"/>
        <v>61600.000000000007</v>
      </c>
      <c r="K181" s="7" t="s">
        <v>609</v>
      </c>
    </row>
    <row r="182" spans="2:11">
      <c r="B182" t="s">
        <v>355</v>
      </c>
      <c r="C182" t="s">
        <v>382</v>
      </c>
      <c r="E182" s="7">
        <v>62</v>
      </c>
      <c r="F182">
        <f t="shared" si="40"/>
        <v>86.8</v>
      </c>
      <c r="G182">
        <f t="shared" si="41"/>
        <v>95.48</v>
      </c>
      <c r="H182" s="7">
        <v>6000</v>
      </c>
      <c r="I182">
        <f t="shared" si="42"/>
        <v>8400</v>
      </c>
      <c r="J182">
        <f t="shared" si="43"/>
        <v>9240</v>
      </c>
      <c r="K182" s="7" t="s">
        <v>519</v>
      </c>
    </row>
    <row r="183" spans="2:11">
      <c r="B183" t="s">
        <v>355</v>
      </c>
      <c r="C183" t="s">
        <v>394</v>
      </c>
      <c r="D183" s="3" t="s">
        <v>473</v>
      </c>
      <c r="E183" s="7">
        <v>15</v>
      </c>
      <c r="F183">
        <f t="shared" si="40"/>
        <v>21</v>
      </c>
      <c r="G183">
        <f t="shared" si="41"/>
        <v>23.1</v>
      </c>
      <c r="H183" s="7">
        <v>50</v>
      </c>
      <c r="I183">
        <f t="shared" si="42"/>
        <v>70</v>
      </c>
      <c r="J183">
        <f t="shared" si="43"/>
        <v>77</v>
      </c>
      <c r="K183" s="7" t="s">
        <v>474</v>
      </c>
    </row>
    <row r="184" spans="2:11">
      <c r="B184" t="s">
        <v>355</v>
      </c>
      <c r="C184" t="s">
        <v>384</v>
      </c>
      <c r="E184" s="7">
        <v>34</v>
      </c>
      <c r="F184">
        <f t="shared" si="40"/>
        <v>47.599999999999994</v>
      </c>
      <c r="G184">
        <f t="shared" si="41"/>
        <v>52.36</v>
      </c>
      <c r="H184" s="7">
        <v>1095</v>
      </c>
      <c r="I184">
        <f t="shared" si="42"/>
        <v>1533</v>
      </c>
      <c r="J184">
        <f t="shared" si="43"/>
        <v>1686.3000000000002</v>
      </c>
      <c r="K184" s="7" t="s">
        <v>514</v>
      </c>
    </row>
    <row r="185" spans="2:11">
      <c r="B185" t="s">
        <v>355</v>
      </c>
      <c r="C185" t="s">
        <v>387</v>
      </c>
      <c r="D185" s="3" t="s">
        <v>497</v>
      </c>
      <c r="E185" s="7">
        <v>147</v>
      </c>
      <c r="F185">
        <f t="shared" si="40"/>
        <v>205.79999999999998</v>
      </c>
      <c r="G185">
        <f t="shared" si="41"/>
        <v>226.38</v>
      </c>
      <c r="H185" s="7">
        <v>9999</v>
      </c>
      <c r="I185">
        <f t="shared" si="42"/>
        <v>13998.599999999999</v>
      </c>
      <c r="J185">
        <f t="shared" si="43"/>
        <v>15398.46</v>
      </c>
      <c r="K185" s="7" t="s">
        <v>498</v>
      </c>
    </row>
    <row r="186" spans="2:11">
      <c r="B186" t="s">
        <v>355</v>
      </c>
      <c r="C186" t="s">
        <v>426</v>
      </c>
      <c r="E186" s="7">
        <v>10</v>
      </c>
      <c r="F186">
        <f t="shared" si="40"/>
        <v>14</v>
      </c>
      <c r="G186">
        <f t="shared" si="41"/>
        <v>15.400000000000002</v>
      </c>
      <c r="H186" s="7">
        <v>180</v>
      </c>
      <c r="I186">
        <f t="shared" si="42"/>
        <v>251.99999999999997</v>
      </c>
      <c r="J186">
        <f t="shared" si="43"/>
        <v>277.2</v>
      </c>
      <c r="K186" s="7" t="s">
        <v>619</v>
      </c>
    </row>
    <row r="187" spans="2:11">
      <c r="B187" t="s">
        <v>355</v>
      </c>
      <c r="C187" t="s">
        <v>380</v>
      </c>
      <c r="E187" s="7">
        <v>25</v>
      </c>
      <c r="F187">
        <f t="shared" si="40"/>
        <v>35</v>
      </c>
      <c r="G187">
        <f t="shared" si="41"/>
        <v>38.5</v>
      </c>
      <c r="H187" s="7">
        <v>1399</v>
      </c>
      <c r="I187">
        <f t="shared" si="42"/>
        <v>1958.6</v>
      </c>
      <c r="J187">
        <f t="shared" si="43"/>
        <v>2154.46</v>
      </c>
      <c r="K187" s="7" t="s">
        <v>590</v>
      </c>
    </row>
    <row r="188" spans="2:11">
      <c r="B188" t="s">
        <v>355</v>
      </c>
      <c r="C188" t="s">
        <v>449</v>
      </c>
      <c r="E188" s="7">
        <v>85</v>
      </c>
      <c r="F188">
        <f t="shared" si="40"/>
        <v>118.99999999999999</v>
      </c>
      <c r="G188">
        <f t="shared" si="41"/>
        <v>130.9</v>
      </c>
      <c r="H188" s="7">
        <v>9000</v>
      </c>
      <c r="I188">
        <f t="shared" si="42"/>
        <v>12600</v>
      </c>
      <c r="J188">
        <f t="shared" si="43"/>
        <v>13860.000000000002</v>
      </c>
      <c r="K188" s="7" t="s">
        <v>641</v>
      </c>
    </row>
    <row r="189" spans="2:11">
      <c r="B189" t="s">
        <v>355</v>
      </c>
      <c r="C189" t="s">
        <v>383</v>
      </c>
      <c r="D189" s="3" t="s">
        <v>515</v>
      </c>
      <c r="E189" s="7">
        <v>30</v>
      </c>
      <c r="F189">
        <f t="shared" si="40"/>
        <v>42</v>
      </c>
      <c r="G189">
        <f t="shared" si="41"/>
        <v>46.2</v>
      </c>
      <c r="H189" s="7">
        <v>1449</v>
      </c>
      <c r="I189">
        <f t="shared" si="42"/>
        <v>2028.6</v>
      </c>
      <c r="J189">
        <f t="shared" si="43"/>
        <v>2231.46</v>
      </c>
      <c r="K189" s="7" t="s">
        <v>516</v>
      </c>
    </row>
    <row r="190" spans="2:11">
      <c r="B190" t="s">
        <v>355</v>
      </c>
      <c r="C190" t="s">
        <v>393</v>
      </c>
      <c r="D190" s="3" t="s">
        <v>475</v>
      </c>
      <c r="E190" s="7">
        <v>20</v>
      </c>
      <c r="F190">
        <f t="shared" si="40"/>
        <v>28</v>
      </c>
      <c r="G190">
        <f t="shared" si="41"/>
        <v>30.800000000000004</v>
      </c>
      <c r="H190" s="7">
        <v>399</v>
      </c>
      <c r="I190">
        <f t="shared" si="42"/>
        <v>558.59999999999991</v>
      </c>
      <c r="J190">
        <f t="shared" si="43"/>
        <v>614.45999999999992</v>
      </c>
      <c r="K190" s="7" t="s">
        <v>476</v>
      </c>
    </row>
    <row r="191" spans="2:11">
      <c r="B191" t="s">
        <v>355</v>
      </c>
      <c r="C191" t="s">
        <v>392</v>
      </c>
      <c r="D191" s="3" t="s">
        <v>477</v>
      </c>
      <c r="E191" s="7">
        <v>10</v>
      </c>
      <c r="F191">
        <f t="shared" si="40"/>
        <v>14</v>
      </c>
      <c r="G191">
        <f t="shared" si="41"/>
        <v>15.400000000000002</v>
      </c>
      <c r="H191" s="7">
        <v>126</v>
      </c>
      <c r="I191">
        <f t="shared" si="42"/>
        <v>176.39999999999998</v>
      </c>
      <c r="J191">
        <f t="shared" si="43"/>
        <v>194.04</v>
      </c>
      <c r="K191" s="7" t="s">
        <v>478</v>
      </c>
    </row>
    <row r="192" spans="2:11">
      <c r="B192" t="s">
        <v>355</v>
      </c>
      <c r="C192" t="s">
        <v>410</v>
      </c>
      <c r="E192" s="7">
        <v>20</v>
      </c>
      <c r="F192">
        <f t="shared" si="40"/>
        <v>28</v>
      </c>
      <c r="G192">
        <f t="shared" si="41"/>
        <v>30.800000000000004</v>
      </c>
      <c r="H192" s="7">
        <v>300</v>
      </c>
      <c r="I192">
        <f t="shared" si="42"/>
        <v>420</v>
      </c>
      <c r="J192">
        <f t="shared" si="43"/>
        <v>462.00000000000006</v>
      </c>
      <c r="K192" s="7" t="s">
        <v>596</v>
      </c>
    </row>
    <row r="193" spans="2:11">
      <c r="B193" t="s">
        <v>355</v>
      </c>
      <c r="C193" t="s">
        <v>437</v>
      </c>
      <c r="E193" s="7">
        <v>100</v>
      </c>
      <c r="F193">
        <f t="shared" si="40"/>
        <v>140</v>
      </c>
      <c r="G193">
        <f t="shared" si="41"/>
        <v>154</v>
      </c>
      <c r="H193" s="7">
        <v>4950</v>
      </c>
      <c r="I193">
        <f t="shared" si="42"/>
        <v>6930</v>
      </c>
      <c r="J193">
        <f t="shared" si="43"/>
        <v>7623.0000000000009</v>
      </c>
      <c r="K193" s="7" t="s">
        <v>632</v>
      </c>
    </row>
    <row r="194" spans="2:11">
      <c r="B194" t="s">
        <v>355</v>
      </c>
      <c r="C194" t="s">
        <v>389</v>
      </c>
      <c r="D194" s="3" t="s">
        <v>493</v>
      </c>
      <c r="E194" s="7">
        <v>10</v>
      </c>
      <c r="F194">
        <f t="shared" si="40"/>
        <v>14</v>
      </c>
      <c r="G194">
        <f t="shared" si="41"/>
        <v>15.400000000000002</v>
      </c>
      <c r="H194" s="7">
        <v>300</v>
      </c>
      <c r="I194">
        <f t="shared" si="42"/>
        <v>420</v>
      </c>
      <c r="J194">
        <f t="shared" si="43"/>
        <v>462.00000000000006</v>
      </c>
      <c r="K194" s="7" t="s">
        <v>494</v>
      </c>
    </row>
    <row r="195" spans="2:11">
      <c r="B195" t="s">
        <v>355</v>
      </c>
      <c r="C195" t="s">
        <v>605</v>
      </c>
      <c r="D195" s="3" t="s">
        <v>603</v>
      </c>
      <c r="E195" s="7">
        <v>87</v>
      </c>
      <c r="F195">
        <f t="shared" si="40"/>
        <v>121.8</v>
      </c>
      <c r="G195">
        <f t="shared" si="41"/>
        <v>133.98000000000002</v>
      </c>
      <c r="H195" s="7">
        <v>3699</v>
      </c>
      <c r="I195">
        <f t="shared" si="42"/>
        <v>5178.5999999999995</v>
      </c>
      <c r="J195">
        <f t="shared" si="43"/>
        <v>5696.46</v>
      </c>
      <c r="K195" s="7" t="s">
        <v>604</v>
      </c>
    </row>
    <row r="196" spans="2:11">
      <c r="B196" t="s">
        <v>355</v>
      </c>
      <c r="C196" t="s">
        <v>436</v>
      </c>
      <c r="D196" s="3" t="s">
        <v>630</v>
      </c>
      <c r="E196" s="7">
        <v>50</v>
      </c>
      <c r="F196">
        <f t="shared" si="40"/>
        <v>70</v>
      </c>
      <c r="G196">
        <f t="shared" si="41"/>
        <v>77</v>
      </c>
      <c r="H196" s="7">
        <v>2199</v>
      </c>
      <c r="I196">
        <f t="shared" si="42"/>
        <v>3078.6</v>
      </c>
      <c r="J196">
        <f t="shared" si="43"/>
        <v>3386.46</v>
      </c>
      <c r="K196" s="7" t="s">
        <v>631</v>
      </c>
    </row>
    <row r="197" spans="2:11">
      <c r="B197" t="s">
        <v>355</v>
      </c>
      <c r="C197" t="s">
        <v>356</v>
      </c>
      <c r="D197" s="3" t="s">
        <v>461</v>
      </c>
      <c r="E197" s="7">
        <v>60</v>
      </c>
      <c r="F197">
        <f t="shared" si="40"/>
        <v>84</v>
      </c>
      <c r="G197">
        <f t="shared" si="41"/>
        <v>92.4</v>
      </c>
      <c r="H197" s="7">
        <v>2799</v>
      </c>
      <c r="I197">
        <f t="shared" si="42"/>
        <v>3918.6</v>
      </c>
      <c r="J197">
        <f t="shared" si="43"/>
        <v>4310.46</v>
      </c>
      <c r="K197" s="7" t="s">
        <v>462</v>
      </c>
    </row>
    <row r="198" spans="2:11">
      <c r="B198" t="s">
        <v>355</v>
      </c>
      <c r="C198" t="s">
        <v>444</v>
      </c>
      <c r="E198" s="7">
        <v>30</v>
      </c>
      <c r="F198">
        <f t="shared" si="40"/>
        <v>42</v>
      </c>
      <c r="G198">
        <f t="shared" si="41"/>
        <v>46.2</v>
      </c>
      <c r="H198" s="7">
        <v>500</v>
      </c>
      <c r="I198">
        <f t="shared" si="42"/>
        <v>700</v>
      </c>
      <c r="J198">
        <f t="shared" si="43"/>
        <v>770.00000000000011</v>
      </c>
      <c r="K198" s="7" t="s">
        <v>634</v>
      </c>
    </row>
    <row r="199" spans="2:11">
      <c r="B199" t="s">
        <v>355</v>
      </c>
      <c r="C199" t="s">
        <v>362</v>
      </c>
      <c r="E199" s="7">
        <v>30</v>
      </c>
      <c r="F199">
        <f t="shared" si="40"/>
        <v>42</v>
      </c>
      <c r="G199">
        <f t="shared" si="41"/>
        <v>46.2</v>
      </c>
      <c r="H199" s="7">
        <v>900</v>
      </c>
      <c r="I199">
        <f t="shared" si="42"/>
        <v>1260</v>
      </c>
      <c r="J199">
        <f t="shared" si="43"/>
        <v>1386</v>
      </c>
      <c r="K199" s="7" t="s">
        <v>501</v>
      </c>
    </row>
    <row r="200" spans="2:11">
      <c r="B200" t="s">
        <v>355</v>
      </c>
      <c r="C200" t="s">
        <v>431</v>
      </c>
      <c r="E200" s="7">
        <v>22</v>
      </c>
      <c r="F200">
        <f t="shared" si="40"/>
        <v>30.799999999999997</v>
      </c>
      <c r="G200">
        <f t="shared" si="41"/>
        <v>33.880000000000003</v>
      </c>
      <c r="H200" s="7">
        <v>420</v>
      </c>
      <c r="I200">
        <f t="shared" si="42"/>
        <v>588</v>
      </c>
      <c r="J200">
        <f t="shared" si="43"/>
        <v>646.80000000000007</v>
      </c>
      <c r="K200" s="7" t="s">
        <v>624</v>
      </c>
    </row>
    <row r="201" spans="2:11">
      <c r="B201" t="s">
        <v>355</v>
      </c>
      <c r="C201" t="s">
        <v>412</v>
      </c>
      <c r="D201" s="3" t="s">
        <v>598</v>
      </c>
      <c r="E201" s="7">
        <v>45</v>
      </c>
      <c r="F201">
        <f t="shared" si="40"/>
        <v>62.999999999999993</v>
      </c>
      <c r="G201">
        <f t="shared" si="41"/>
        <v>69.3</v>
      </c>
      <c r="H201" s="7">
        <v>1400</v>
      </c>
      <c r="I201">
        <f t="shared" si="42"/>
        <v>1959.9999999999998</v>
      </c>
      <c r="J201">
        <f t="shared" si="43"/>
        <v>2156</v>
      </c>
      <c r="K201" s="7" t="s">
        <v>599</v>
      </c>
    </row>
    <row r="202" spans="2:11">
      <c r="B202" t="s">
        <v>355</v>
      </c>
      <c r="C202" t="s">
        <v>405</v>
      </c>
      <c r="D202" s="3" t="s">
        <v>469</v>
      </c>
      <c r="E202" s="7">
        <v>30</v>
      </c>
      <c r="F202">
        <f t="shared" si="40"/>
        <v>42</v>
      </c>
      <c r="G202">
        <f t="shared" si="41"/>
        <v>46.2</v>
      </c>
      <c r="H202" s="7">
        <v>1349</v>
      </c>
      <c r="I202">
        <f t="shared" si="42"/>
        <v>1888.6</v>
      </c>
      <c r="J202">
        <f t="shared" si="43"/>
        <v>2077.46</v>
      </c>
      <c r="K202" s="7" t="s">
        <v>470</v>
      </c>
    </row>
    <row r="203" spans="2:11">
      <c r="B203" t="s">
        <v>355</v>
      </c>
      <c r="C203" t="s">
        <v>396</v>
      </c>
      <c r="D203" s="3" t="s">
        <v>467</v>
      </c>
      <c r="E203" s="7">
        <v>35</v>
      </c>
      <c r="F203">
        <f t="shared" si="40"/>
        <v>49</v>
      </c>
      <c r="G203">
        <f t="shared" si="41"/>
        <v>53.900000000000006</v>
      </c>
      <c r="H203" s="7">
        <v>1999</v>
      </c>
      <c r="I203">
        <f t="shared" si="42"/>
        <v>2798.6</v>
      </c>
      <c r="J203">
        <f t="shared" si="43"/>
        <v>3078.46</v>
      </c>
      <c r="K203" s="7" t="s">
        <v>468</v>
      </c>
    </row>
    <row r="204" spans="2:11">
      <c r="B204" t="s">
        <v>355</v>
      </c>
      <c r="C204" t="s">
        <v>445</v>
      </c>
      <c r="E204" s="7">
        <v>25</v>
      </c>
      <c r="F204">
        <f t="shared" si="40"/>
        <v>35</v>
      </c>
      <c r="G204">
        <f t="shared" si="41"/>
        <v>38.5</v>
      </c>
      <c r="H204" s="7">
        <v>600</v>
      </c>
      <c r="I204">
        <f t="shared" si="42"/>
        <v>840</v>
      </c>
      <c r="J204">
        <f t="shared" si="43"/>
        <v>924.00000000000011</v>
      </c>
      <c r="K204" s="7" t="s">
        <v>635</v>
      </c>
    </row>
    <row r="205" spans="2:11">
      <c r="B205" t="s">
        <v>355</v>
      </c>
      <c r="C205" t="s">
        <v>404</v>
      </c>
      <c r="E205" s="7">
        <v>20</v>
      </c>
      <c r="F205">
        <f t="shared" ref="F205:F236" si="44">E205*1.4</f>
        <v>28</v>
      </c>
      <c r="G205">
        <f t="shared" ref="G205:G236" si="45">F205*1.1</f>
        <v>30.800000000000004</v>
      </c>
      <c r="H205" s="7">
        <v>1350</v>
      </c>
      <c r="I205">
        <f t="shared" ref="I205:I236" si="46">H205*1.4</f>
        <v>1889.9999999999998</v>
      </c>
      <c r="J205">
        <f t="shared" ref="J205:J236" si="47">I205*1.1</f>
        <v>2079</v>
      </c>
      <c r="K205" s="7" t="s">
        <v>593</v>
      </c>
    </row>
    <row r="206" spans="2:11">
      <c r="B206" t="s">
        <v>355</v>
      </c>
      <c r="C206" t="s">
        <v>407</v>
      </c>
      <c r="E206" s="7">
        <v>20</v>
      </c>
      <c r="F206">
        <f t="shared" si="44"/>
        <v>28</v>
      </c>
      <c r="G206">
        <f t="shared" si="45"/>
        <v>30.800000000000004</v>
      </c>
      <c r="H206" s="7">
        <v>1350</v>
      </c>
      <c r="I206">
        <f t="shared" si="46"/>
        <v>1889.9999999999998</v>
      </c>
      <c r="J206">
        <f t="shared" si="47"/>
        <v>2079</v>
      </c>
      <c r="K206" s="7" t="s">
        <v>608</v>
      </c>
    </row>
    <row r="207" spans="2:11">
      <c r="B207" t="s">
        <v>355</v>
      </c>
      <c r="C207" t="s">
        <v>363</v>
      </c>
      <c r="E207" s="7">
        <v>45</v>
      </c>
      <c r="F207">
        <f t="shared" si="44"/>
        <v>62.999999999999993</v>
      </c>
      <c r="G207">
        <f t="shared" si="45"/>
        <v>69.3</v>
      </c>
      <c r="H207" s="7">
        <v>800</v>
      </c>
      <c r="I207">
        <f t="shared" si="46"/>
        <v>1120</v>
      </c>
      <c r="J207">
        <f t="shared" si="47"/>
        <v>1232</v>
      </c>
      <c r="K207" s="7" t="s">
        <v>502</v>
      </c>
    </row>
    <row r="208" spans="2:11">
      <c r="B208" t="s">
        <v>355</v>
      </c>
      <c r="C208" t="s">
        <v>357</v>
      </c>
      <c r="D208" s="3" t="s">
        <v>481</v>
      </c>
      <c r="E208" s="7">
        <v>40</v>
      </c>
      <c r="F208">
        <f t="shared" si="44"/>
        <v>56</v>
      </c>
      <c r="G208">
        <f t="shared" si="45"/>
        <v>61.600000000000009</v>
      </c>
      <c r="H208" s="7">
        <v>800</v>
      </c>
      <c r="I208">
        <f t="shared" si="46"/>
        <v>1120</v>
      </c>
      <c r="J208">
        <f t="shared" si="47"/>
        <v>1232</v>
      </c>
      <c r="K208" s="7" t="s">
        <v>482</v>
      </c>
    </row>
    <row r="209" spans="2:11">
      <c r="B209" t="s">
        <v>355</v>
      </c>
      <c r="C209" t="s">
        <v>358</v>
      </c>
      <c r="D209" s="3" t="s">
        <v>483</v>
      </c>
      <c r="E209" s="7">
        <v>50</v>
      </c>
      <c r="F209">
        <f t="shared" si="44"/>
        <v>70</v>
      </c>
      <c r="G209">
        <f t="shared" si="45"/>
        <v>77</v>
      </c>
      <c r="H209" s="7">
        <v>1799</v>
      </c>
      <c r="I209">
        <f t="shared" si="46"/>
        <v>2518.6</v>
      </c>
      <c r="J209">
        <f t="shared" si="47"/>
        <v>2770.46</v>
      </c>
      <c r="K209" s="7" t="s">
        <v>484</v>
      </c>
    </row>
    <row r="210" spans="2:11">
      <c r="B210" t="s">
        <v>355</v>
      </c>
      <c r="C210" t="s">
        <v>381</v>
      </c>
      <c r="E210" s="7">
        <v>30</v>
      </c>
      <c r="F210">
        <f t="shared" si="44"/>
        <v>42</v>
      </c>
      <c r="G210">
        <f t="shared" si="45"/>
        <v>46.2</v>
      </c>
      <c r="H210" s="7">
        <v>1250</v>
      </c>
      <c r="I210">
        <f t="shared" si="46"/>
        <v>1750</v>
      </c>
      <c r="J210">
        <f t="shared" si="47"/>
        <v>1925.0000000000002</v>
      </c>
      <c r="K210" s="7" t="s">
        <v>591</v>
      </c>
    </row>
    <row r="211" spans="2:11">
      <c r="B211" t="s">
        <v>355</v>
      </c>
      <c r="C211" s="12" t="s">
        <v>406</v>
      </c>
      <c r="E211" s="7">
        <v>30</v>
      </c>
      <c r="F211">
        <f t="shared" si="44"/>
        <v>42</v>
      </c>
      <c r="G211">
        <f t="shared" si="45"/>
        <v>46.2</v>
      </c>
      <c r="H211" s="7">
        <v>1250</v>
      </c>
      <c r="I211">
        <f t="shared" si="46"/>
        <v>1750</v>
      </c>
      <c r="J211">
        <f t="shared" si="47"/>
        <v>1925.0000000000002</v>
      </c>
      <c r="K211" s="7" t="s">
        <v>606</v>
      </c>
    </row>
    <row r="212" spans="2:11">
      <c r="B212" t="s">
        <v>355</v>
      </c>
      <c r="C212" t="s">
        <v>395</v>
      </c>
      <c r="D212" s="3" t="s">
        <v>471</v>
      </c>
      <c r="E212" s="7">
        <v>100</v>
      </c>
      <c r="F212">
        <f t="shared" si="44"/>
        <v>140</v>
      </c>
      <c r="G212">
        <f t="shared" si="45"/>
        <v>154</v>
      </c>
      <c r="H212" s="7">
        <v>4500</v>
      </c>
      <c r="I212">
        <f t="shared" si="46"/>
        <v>6300</v>
      </c>
      <c r="J212">
        <f t="shared" si="47"/>
        <v>6930.0000000000009</v>
      </c>
      <c r="K212" s="7" t="s">
        <v>472</v>
      </c>
    </row>
    <row r="213" spans="2:11">
      <c r="B213" t="s">
        <v>355</v>
      </c>
      <c r="C213" t="s">
        <v>443</v>
      </c>
      <c r="E213" s="7">
        <v>30</v>
      </c>
      <c r="F213">
        <f t="shared" si="44"/>
        <v>42</v>
      </c>
      <c r="G213">
        <f t="shared" si="45"/>
        <v>46.2</v>
      </c>
      <c r="H213" s="7">
        <v>1896</v>
      </c>
      <c r="I213">
        <f t="shared" si="46"/>
        <v>2654.3999999999996</v>
      </c>
      <c r="J213">
        <f t="shared" si="47"/>
        <v>2919.8399999999997</v>
      </c>
      <c r="K213" s="7" t="s">
        <v>633</v>
      </c>
    </row>
    <row r="214" spans="2:11">
      <c r="B214" t="s">
        <v>355</v>
      </c>
      <c r="C214" t="s">
        <v>379</v>
      </c>
      <c r="E214" s="7">
        <v>19</v>
      </c>
      <c r="F214">
        <f t="shared" si="44"/>
        <v>26.599999999999998</v>
      </c>
      <c r="G214">
        <f t="shared" si="45"/>
        <v>29.26</v>
      </c>
      <c r="I214">
        <f t="shared" si="46"/>
        <v>0</v>
      </c>
      <c r="J214">
        <f t="shared" si="47"/>
        <v>0</v>
      </c>
      <c r="K214" s="7" t="s">
        <v>589</v>
      </c>
    </row>
    <row r="215" spans="2:11">
      <c r="B215" t="s">
        <v>355</v>
      </c>
      <c r="C215" t="s">
        <v>456</v>
      </c>
      <c r="E215" s="7">
        <v>95</v>
      </c>
      <c r="F215">
        <f t="shared" si="44"/>
        <v>133</v>
      </c>
      <c r="G215">
        <f t="shared" si="45"/>
        <v>146.30000000000001</v>
      </c>
      <c r="H215" s="7">
        <v>4950</v>
      </c>
      <c r="I215">
        <f t="shared" si="46"/>
        <v>6930</v>
      </c>
      <c r="J215">
        <f t="shared" si="47"/>
        <v>7623.0000000000009</v>
      </c>
      <c r="K215" s="7" t="s">
        <v>648</v>
      </c>
    </row>
    <row r="216" spans="2:11">
      <c r="B216" t="s">
        <v>355</v>
      </c>
      <c r="C216" t="s">
        <v>413</v>
      </c>
      <c r="E216" s="7">
        <v>15</v>
      </c>
      <c r="F216">
        <f t="shared" si="44"/>
        <v>21</v>
      </c>
      <c r="G216">
        <f t="shared" si="45"/>
        <v>23.1</v>
      </c>
      <c r="I216">
        <f t="shared" si="46"/>
        <v>0</v>
      </c>
      <c r="J216">
        <f t="shared" si="47"/>
        <v>0</v>
      </c>
      <c r="K216" s="7" t="s">
        <v>600</v>
      </c>
    </row>
    <row r="217" spans="2:11">
      <c r="B217" t="s">
        <v>355</v>
      </c>
      <c r="C217" t="s">
        <v>453</v>
      </c>
      <c r="E217" s="7">
        <v>5</v>
      </c>
      <c r="F217">
        <f t="shared" si="44"/>
        <v>7</v>
      </c>
      <c r="G217">
        <f t="shared" si="45"/>
        <v>7.7000000000000011</v>
      </c>
      <c r="H217" s="7">
        <v>800</v>
      </c>
      <c r="I217">
        <f t="shared" si="46"/>
        <v>1120</v>
      </c>
      <c r="J217">
        <f t="shared" si="47"/>
        <v>1232</v>
      </c>
      <c r="K217" s="7" t="s">
        <v>645</v>
      </c>
    </row>
    <row r="218" spans="2:11">
      <c r="B218" t="s">
        <v>355</v>
      </c>
      <c r="C218" t="s">
        <v>452</v>
      </c>
      <c r="E218" s="7">
        <v>32</v>
      </c>
      <c r="F218">
        <f t="shared" si="44"/>
        <v>44.8</v>
      </c>
      <c r="G218">
        <f t="shared" si="45"/>
        <v>49.28</v>
      </c>
      <c r="H218" s="7">
        <v>360</v>
      </c>
      <c r="I218">
        <f t="shared" si="46"/>
        <v>503.99999999999994</v>
      </c>
      <c r="J218">
        <f t="shared" si="47"/>
        <v>554.4</v>
      </c>
      <c r="K218" s="7" t="s">
        <v>644</v>
      </c>
    </row>
    <row r="219" spans="2:11">
      <c r="B219" t="s">
        <v>355</v>
      </c>
      <c r="C219" t="s">
        <v>399</v>
      </c>
      <c r="D219" s="3" t="s">
        <v>463</v>
      </c>
      <c r="E219" s="7">
        <v>115</v>
      </c>
      <c r="F219">
        <f t="shared" si="44"/>
        <v>161</v>
      </c>
      <c r="G219">
        <f t="shared" si="45"/>
        <v>177.10000000000002</v>
      </c>
      <c r="H219" s="7">
        <v>3999</v>
      </c>
      <c r="I219">
        <f t="shared" si="46"/>
        <v>5598.5999999999995</v>
      </c>
      <c r="J219">
        <f t="shared" si="47"/>
        <v>6158.46</v>
      </c>
      <c r="K219" s="7" t="s">
        <v>464</v>
      </c>
    </row>
    <row r="220" spans="2:11">
      <c r="B220" t="s">
        <v>355</v>
      </c>
      <c r="C220" t="s">
        <v>400</v>
      </c>
      <c r="D220" s="3" t="s">
        <v>465</v>
      </c>
      <c r="E220" s="7">
        <v>145</v>
      </c>
      <c r="F220">
        <f t="shared" si="44"/>
        <v>203</v>
      </c>
      <c r="G220">
        <f t="shared" si="45"/>
        <v>223.3</v>
      </c>
      <c r="H220" s="7">
        <v>5499</v>
      </c>
      <c r="I220">
        <f t="shared" si="46"/>
        <v>7698.5999999999995</v>
      </c>
      <c r="J220">
        <f t="shared" si="47"/>
        <v>8468.4600000000009</v>
      </c>
      <c r="K220" s="7" t="s">
        <v>466</v>
      </c>
    </row>
    <row r="221" spans="2:11">
      <c r="B221" t="s">
        <v>355</v>
      </c>
      <c r="C221" t="s">
        <v>402</v>
      </c>
      <c r="D221" s="3" t="s">
        <v>517</v>
      </c>
      <c r="E221" s="7">
        <v>225</v>
      </c>
      <c r="F221">
        <f t="shared" si="44"/>
        <v>315</v>
      </c>
      <c r="G221">
        <f t="shared" si="45"/>
        <v>346.5</v>
      </c>
      <c r="H221" s="7">
        <v>5000</v>
      </c>
      <c r="I221">
        <f t="shared" si="46"/>
        <v>7000</v>
      </c>
      <c r="J221">
        <f t="shared" si="47"/>
        <v>7700.0000000000009</v>
      </c>
      <c r="K221" s="7" t="s">
        <v>518</v>
      </c>
    </row>
    <row r="222" spans="2:11">
      <c r="B222" t="s">
        <v>355</v>
      </c>
      <c r="C222" t="s">
        <v>398</v>
      </c>
      <c r="D222" s="3" t="s">
        <v>457</v>
      </c>
      <c r="E222" s="7">
        <v>350</v>
      </c>
      <c r="F222">
        <f t="shared" si="44"/>
        <v>489.99999999999994</v>
      </c>
      <c r="G222">
        <f t="shared" si="45"/>
        <v>539</v>
      </c>
      <c r="H222" s="7">
        <v>11746</v>
      </c>
      <c r="I222">
        <f t="shared" si="46"/>
        <v>16444.399999999998</v>
      </c>
      <c r="J222">
        <f t="shared" si="47"/>
        <v>18088.84</v>
      </c>
      <c r="K222" s="7" t="s">
        <v>458</v>
      </c>
    </row>
    <row r="223" spans="2:11">
      <c r="B223" t="s">
        <v>355</v>
      </c>
      <c r="C223" t="s">
        <v>418</v>
      </c>
      <c r="E223" s="7">
        <v>300</v>
      </c>
      <c r="F223">
        <f t="shared" si="44"/>
        <v>420</v>
      </c>
      <c r="G223">
        <f t="shared" si="45"/>
        <v>462.00000000000006</v>
      </c>
      <c r="H223" s="7">
        <v>10000</v>
      </c>
      <c r="I223">
        <f t="shared" si="46"/>
        <v>14000</v>
      </c>
      <c r="J223">
        <f t="shared" si="47"/>
        <v>15400.000000000002</v>
      </c>
      <c r="K223" s="7" t="s">
        <v>611</v>
      </c>
    </row>
    <row r="224" spans="2:11">
      <c r="B224" t="s">
        <v>355</v>
      </c>
      <c r="C224" t="s">
        <v>441</v>
      </c>
      <c r="E224" s="7">
        <v>13</v>
      </c>
      <c r="F224">
        <f t="shared" si="44"/>
        <v>18.2</v>
      </c>
      <c r="G224">
        <f t="shared" si="45"/>
        <v>20.02</v>
      </c>
      <c r="H224" s="7">
        <v>430</v>
      </c>
      <c r="I224">
        <f t="shared" si="46"/>
        <v>602</v>
      </c>
      <c r="J224">
        <f t="shared" si="47"/>
        <v>662.2</v>
      </c>
      <c r="K224" s="7" t="s">
        <v>653</v>
      </c>
    </row>
    <row r="225" spans="2:11">
      <c r="B225" t="s">
        <v>355</v>
      </c>
      <c r="C225" s="11" t="s">
        <v>365</v>
      </c>
      <c r="E225" s="7">
        <v>55</v>
      </c>
      <c r="F225">
        <f t="shared" si="44"/>
        <v>77</v>
      </c>
      <c r="G225">
        <f t="shared" si="45"/>
        <v>84.7</v>
      </c>
      <c r="H225" s="7">
        <v>1000</v>
      </c>
      <c r="I225">
        <f t="shared" si="46"/>
        <v>1400</v>
      </c>
      <c r="J225">
        <f t="shared" si="47"/>
        <v>1540.0000000000002</v>
      </c>
    </row>
    <row r="226" spans="2:11">
      <c r="B226" t="s">
        <v>355</v>
      </c>
      <c r="C226" s="11" t="s">
        <v>366</v>
      </c>
      <c r="E226" s="7">
        <v>40</v>
      </c>
      <c r="F226">
        <f t="shared" si="44"/>
        <v>56</v>
      </c>
      <c r="G226">
        <f t="shared" si="45"/>
        <v>61.600000000000009</v>
      </c>
      <c r="H226" s="7">
        <v>315</v>
      </c>
      <c r="I226">
        <f t="shared" si="46"/>
        <v>441</v>
      </c>
      <c r="J226">
        <f t="shared" si="47"/>
        <v>485.1</v>
      </c>
      <c r="K226" s="7" t="s">
        <v>506</v>
      </c>
    </row>
    <row r="227" spans="2:11">
      <c r="B227" t="s">
        <v>355</v>
      </c>
      <c r="C227" s="11" t="s">
        <v>367</v>
      </c>
      <c r="E227" s="7">
        <v>40</v>
      </c>
      <c r="F227">
        <f t="shared" si="44"/>
        <v>56</v>
      </c>
      <c r="G227">
        <f t="shared" si="45"/>
        <v>61.600000000000009</v>
      </c>
      <c r="H227" s="7">
        <v>500</v>
      </c>
      <c r="I227">
        <f t="shared" si="46"/>
        <v>700</v>
      </c>
      <c r="J227">
        <f t="shared" si="47"/>
        <v>770.00000000000011</v>
      </c>
      <c r="K227" s="7" t="s">
        <v>507</v>
      </c>
    </row>
    <row r="228" spans="2:11">
      <c r="B228" t="s">
        <v>355</v>
      </c>
      <c r="C228" t="s">
        <v>414</v>
      </c>
      <c r="E228" s="7">
        <v>13</v>
      </c>
      <c r="F228">
        <f t="shared" si="44"/>
        <v>18.2</v>
      </c>
      <c r="G228">
        <f t="shared" si="45"/>
        <v>20.02</v>
      </c>
      <c r="H228" s="7">
        <v>250</v>
      </c>
      <c r="I228">
        <f t="shared" si="46"/>
        <v>350</v>
      </c>
      <c r="J228">
        <f t="shared" si="47"/>
        <v>385.00000000000006</v>
      </c>
      <c r="K228" s="7" t="s">
        <v>601</v>
      </c>
    </row>
    <row r="229" spans="2:11">
      <c r="B229" t="s">
        <v>355</v>
      </c>
      <c r="C229" t="s">
        <v>415</v>
      </c>
      <c r="E229" s="7">
        <v>15</v>
      </c>
      <c r="F229">
        <f t="shared" si="44"/>
        <v>21</v>
      </c>
      <c r="G229">
        <f t="shared" si="45"/>
        <v>23.1</v>
      </c>
      <c r="H229" s="7">
        <v>400</v>
      </c>
      <c r="I229">
        <f t="shared" si="46"/>
        <v>560</v>
      </c>
      <c r="J229">
        <f t="shared" si="47"/>
        <v>616</v>
      </c>
      <c r="K229" s="7" t="s">
        <v>602</v>
      </c>
    </row>
    <row r="230" spans="2:11">
      <c r="B230" t="s">
        <v>355</v>
      </c>
      <c r="C230" t="s">
        <v>368</v>
      </c>
      <c r="E230" s="7">
        <v>200</v>
      </c>
      <c r="F230">
        <f t="shared" si="44"/>
        <v>280</v>
      </c>
      <c r="G230">
        <f t="shared" si="45"/>
        <v>308</v>
      </c>
      <c r="H230" s="7">
        <v>33300</v>
      </c>
      <c r="I230">
        <f t="shared" si="46"/>
        <v>46620</v>
      </c>
      <c r="J230">
        <f t="shared" si="47"/>
        <v>51282.000000000007</v>
      </c>
      <c r="K230" s="7" t="s">
        <v>508</v>
      </c>
    </row>
    <row r="231" spans="2:11">
      <c r="B231" t="s">
        <v>355</v>
      </c>
      <c r="C231" t="s">
        <v>369</v>
      </c>
      <c r="E231" s="7">
        <v>100</v>
      </c>
      <c r="F231">
        <f t="shared" si="44"/>
        <v>140</v>
      </c>
      <c r="G231">
        <f t="shared" si="45"/>
        <v>154</v>
      </c>
      <c r="H231" s="7">
        <v>1000</v>
      </c>
      <c r="I231">
        <f t="shared" si="46"/>
        <v>1400</v>
      </c>
      <c r="J231">
        <f t="shared" si="47"/>
        <v>1540.0000000000002</v>
      </c>
      <c r="K231" s="7" t="s">
        <v>509</v>
      </c>
    </row>
    <row r="232" spans="2:11">
      <c r="B232" t="s">
        <v>355</v>
      </c>
      <c r="C232" t="s">
        <v>370</v>
      </c>
      <c r="E232" s="7">
        <v>150</v>
      </c>
      <c r="F232">
        <f t="shared" si="44"/>
        <v>210</v>
      </c>
      <c r="G232">
        <f t="shared" si="45"/>
        <v>231.00000000000003</v>
      </c>
      <c r="H232" s="7">
        <v>2000</v>
      </c>
      <c r="I232">
        <f t="shared" si="46"/>
        <v>2800</v>
      </c>
      <c r="J232">
        <f t="shared" si="47"/>
        <v>3080.0000000000005</v>
      </c>
      <c r="K232" s="7" t="s">
        <v>510</v>
      </c>
    </row>
    <row r="233" spans="2:11">
      <c r="B233" t="s">
        <v>355</v>
      </c>
      <c r="C233" t="s">
        <v>371</v>
      </c>
      <c r="E233" s="7">
        <v>187</v>
      </c>
      <c r="F233">
        <f t="shared" si="44"/>
        <v>261.8</v>
      </c>
      <c r="G233">
        <f t="shared" si="45"/>
        <v>287.98</v>
      </c>
      <c r="H233" s="7">
        <v>6120</v>
      </c>
      <c r="I233">
        <f t="shared" si="46"/>
        <v>8568</v>
      </c>
      <c r="J233">
        <f t="shared" si="47"/>
        <v>9424.8000000000011</v>
      </c>
      <c r="K233" s="7" t="s">
        <v>511</v>
      </c>
    </row>
    <row r="234" spans="2:11">
      <c r="B234" t="s">
        <v>355</v>
      </c>
      <c r="C234" t="s">
        <v>438</v>
      </c>
      <c r="E234" s="7">
        <v>14</v>
      </c>
      <c r="F234">
        <f t="shared" si="44"/>
        <v>19.599999999999998</v>
      </c>
      <c r="G234">
        <f t="shared" si="45"/>
        <v>21.56</v>
      </c>
      <c r="H234" s="7">
        <v>350</v>
      </c>
      <c r="I234">
        <f t="shared" si="46"/>
        <v>489.99999999999994</v>
      </c>
      <c r="J234">
        <f t="shared" si="47"/>
        <v>539</v>
      </c>
      <c r="K234" s="7" t="s">
        <v>649</v>
      </c>
    </row>
    <row r="235" spans="2:11">
      <c r="B235" t="s">
        <v>355</v>
      </c>
      <c r="C235" t="s">
        <v>439</v>
      </c>
      <c r="E235" s="7">
        <v>9</v>
      </c>
      <c r="F235">
        <f t="shared" si="44"/>
        <v>12.6</v>
      </c>
      <c r="G235">
        <f t="shared" si="45"/>
        <v>13.860000000000001</v>
      </c>
      <c r="H235" s="7">
        <v>512</v>
      </c>
      <c r="I235">
        <f t="shared" si="46"/>
        <v>716.8</v>
      </c>
      <c r="J235">
        <f t="shared" si="47"/>
        <v>788.48</v>
      </c>
      <c r="K235" s="7" t="s">
        <v>650</v>
      </c>
    </row>
    <row r="236" spans="2:11">
      <c r="B236" t="s">
        <v>355</v>
      </c>
      <c r="C236" t="s">
        <v>401</v>
      </c>
      <c r="D236" s="3" t="s">
        <v>485</v>
      </c>
      <c r="E236" s="7">
        <v>35</v>
      </c>
      <c r="F236">
        <f t="shared" si="44"/>
        <v>49</v>
      </c>
      <c r="G236">
        <f t="shared" si="45"/>
        <v>53.900000000000006</v>
      </c>
      <c r="H236" s="7">
        <v>549</v>
      </c>
      <c r="I236">
        <f t="shared" si="46"/>
        <v>768.59999999999991</v>
      </c>
      <c r="J236">
        <f t="shared" si="47"/>
        <v>845.45999999999992</v>
      </c>
      <c r="K236" s="7" t="s">
        <v>486</v>
      </c>
    </row>
    <row r="237" spans="2:11">
      <c r="B237" t="s">
        <v>355</v>
      </c>
      <c r="C237" t="s">
        <v>361</v>
      </c>
      <c r="D237" s="3" t="s">
        <v>499</v>
      </c>
      <c r="E237" s="7">
        <v>15</v>
      </c>
      <c r="F237">
        <f t="shared" ref="F237:F243" si="48">E237*1.4</f>
        <v>21</v>
      </c>
      <c r="G237">
        <f t="shared" ref="G237:G243" si="49">F237*1.1</f>
        <v>23.1</v>
      </c>
      <c r="H237" s="7">
        <v>300</v>
      </c>
      <c r="I237">
        <f t="shared" ref="I237:I243" si="50">H237*1.4</f>
        <v>420</v>
      </c>
      <c r="J237">
        <f t="shared" ref="J237:J243" si="51">I237*1.1</f>
        <v>462.00000000000006</v>
      </c>
      <c r="K237" s="7" t="s">
        <v>500</v>
      </c>
    </row>
    <row r="238" spans="2:11">
      <c r="B238" t="s">
        <v>355</v>
      </c>
      <c r="C238" t="s">
        <v>442</v>
      </c>
      <c r="F238">
        <f t="shared" si="48"/>
        <v>0</v>
      </c>
      <c r="G238">
        <f t="shared" si="49"/>
        <v>0</v>
      </c>
      <c r="H238" s="7">
        <v>400</v>
      </c>
      <c r="I238">
        <f t="shared" si="50"/>
        <v>560</v>
      </c>
      <c r="J238">
        <f t="shared" si="51"/>
        <v>616</v>
      </c>
      <c r="K238" s="7" t="s">
        <v>654</v>
      </c>
    </row>
    <row r="239" spans="2:11">
      <c r="B239" t="s">
        <v>355</v>
      </c>
      <c r="C239" t="s">
        <v>432</v>
      </c>
      <c r="E239" s="7">
        <v>120</v>
      </c>
      <c r="F239">
        <f t="shared" si="48"/>
        <v>168</v>
      </c>
      <c r="G239">
        <f t="shared" si="49"/>
        <v>184.8</v>
      </c>
      <c r="H239" s="7">
        <v>2000</v>
      </c>
      <c r="I239">
        <f t="shared" si="50"/>
        <v>2800</v>
      </c>
      <c r="J239">
        <f t="shared" si="51"/>
        <v>3080.0000000000005</v>
      </c>
      <c r="K239" s="7" t="s">
        <v>625</v>
      </c>
    </row>
    <row r="240" spans="2:11">
      <c r="B240" t="s">
        <v>355</v>
      </c>
      <c r="C240" t="s">
        <v>372</v>
      </c>
      <c r="E240" s="7">
        <v>70</v>
      </c>
      <c r="F240">
        <f t="shared" si="48"/>
        <v>98</v>
      </c>
      <c r="G240">
        <f t="shared" si="49"/>
        <v>107.80000000000001</v>
      </c>
      <c r="H240" s="7">
        <v>3000</v>
      </c>
      <c r="I240">
        <f t="shared" si="50"/>
        <v>4200</v>
      </c>
      <c r="J240">
        <f t="shared" si="51"/>
        <v>4620</v>
      </c>
      <c r="K240" s="7" t="s">
        <v>512</v>
      </c>
    </row>
    <row r="241" spans="1:11">
      <c r="B241" t="s">
        <v>355</v>
      </c>
      <c r="C241" t="s">
        <v>454</v>
      </c>
      <c r="E241" s="7">
        <v>180</v>
      </c>
      <c r="F241">
        <f t="shared" si="48"/>
        <v>251.99999999999997</v>
      </c>
      <c r="G241">
        <f t="shared" si="49"/>
        <v>277.2</v>
      </c>
      <c r="H241" s="7">
        <v>2000</v>
      </c>
      <c r="I241">
        <f t="shared" si="50"/>
        <v>2800</v>
      </c>
      <c r="J241">
        <f t="shared" si="51"/>
        <v>3080.0000000000005</v>
      </c>
      <c r="K241" s="7" t="s">
        <v>646</v>
      </c>
    </row>
    <row r="242" spans="1:11">
      <c r="B242" t="s">
        <v>355</v>
      </c>
      <c r="C242" t="s">
        <v>359</v>
      </c>
      <c r="D242" s="3" t="s">
        <v>487</v>
      </c>
      <c r="E242" s="7">
        <v>187</v>
      </c>
      <c r="F242">
        <f t="shared" si="48"/>
        <v>261.8</v>
      </c>
      <c r="G242">
        <f t="shared" si="49"/>
        <v>287.98</v>
      </c>
      <c r="H242" s="7">
        <v>3999</v>
      </c>
      <c r="I242">
        <f t="shared" si="50"/>
        <v>5598.5999999999995</v>
      </c>
      <c r="J242">
        <f t="shared" si="51"/>
        <v>6158.46</v>
      </c>
      <c r="K242" s="7" t="s">
        <v>488</v>
      </c>
    </row>
    <row r="243" spans="1:11">
      <c r="B243" t="s">
        <v>355</v>
      </c>
      <c r="C243" t="s">
        <v>433</v>
      </c>
      <c r="E243" s="7">
        <v>66</v>
      </c>
      <c r="F243">
        <f t="shared" si="48"/>
        <v>92.399999999999991</v>
      </c>
      <c r="G243">
        <f t="shared" si="49"/>
        <v>101.64</v>
      </c>
      <c r="I243">
        <f t="shared" si="50"/>
        <v>0</v>
      </c>
      <c r="J243">
        <f t="shared" si="51"/>
        <v>0</v>
      </c>
      <c r="K243" s="7" t="s">
        <v>626</v>
      </c>
    </row>
    <row r="245" spans="1:11">
      <c r="A245" t="s">
        <v>984</v>
      </c>
      <c r="B245" t="s">
        <v>520</v>
      </c>
      <c r="C245" t="s">
        <v>531</v>
      </c>
      <c r="E245" s="7">
        <v>28</v>
      </c>
      <c r="F245">
        <f>E245*1.4</f>
        <v>39.199999999999996</v>
      </c>
      <c r="G245">
        <f>F245*1.1</f>
        <v>43.12</v>
      </c>
      <c r="H245" s="7">
        <v>1390</v>
      </c>
      <c r="I245">
        <f>H245*1.4</f>
        <v>1945.9999999999998</v>
      </c>
      <c r="J245">
        <f>I245*1.1</f>
        <v>2140.6</v>
      </c>
      <c r="K245" s="7" t="s">
        <v>527</v>
      </c>
    </row>
    <row r="246" spans="1:11">
      <c r="B246" t="s">
        <v>520</v>
      </c>
      <c r="C246" t="s">
        <v>529</v>
      </c>
      <c r="D246" s="3" t="s">
        <v>528</v>
      </c>
      <c r="E246" s="7">
        <v>75</v>
      </c>
      <c r="F246">
        <f>E246*1.4</f>
        <v>105</v>
      </c>
      <c r="G246">
        <f>F246*1.1</f>
        <v>115.50000000000001</v>
      </c>
      <c r="H246" s="7">
        <v>1300</v>
      </c>
      <c r="I246">
        <f>H246*1.4</f>
        <v>1819.9999999999998</v>
      </c>
      <c r="J246">
        <f>I246*1.1</f>
        <v>2002</v>
      </c>
      <c r="K246" s="7" t="s">
        <v>530</v>
      </c>
    </row>
    <row r="247" spans="1:11">
      <c r="B247" t="s">
        <v>520</v>
      </c>
      <c r="C247" t="s">
        <v>521</v>
      </c>
      <c r="D247" s="10" t="s">
        <v>523</v>
      </c>
      <c r="E247" s="7">
        <v>200</v>
      </c>
      <c r="F247">
        <f>E247*1.4</f>
        <v>280</v>
      </c>
      <c r="G247">
        <f>F247*1.1</f>
        <v>308</v>
      </c>
      <c r="H247" s="7">
        <v>1800</v>
      </c>
      <c r="I247">
        <f>H247*1.4</f>
        <v>2520</v>
      </c>
      <c r="J247">
        <f>I247*1.1</f>
        <v>2772</v>
      </c>
      <c r="K247" s="7" t="s">
        <v>524</v>
      </c>
    </row>
    <row r="248" spans="1:11">
      <c r="B248" t="s">
        <v>520</v>
      </c>
      <c r="C248" t="s">
        <v>522</v>
      </c>
      <c r="D248" s="3" t="s">
        <v>525</v>
      </c>
      <c r="E248" s="7">
        <v>150</v>
      </c>
      <c r="F248">
        <f>E248*1.4</f>
        <v>210</v>
      </c>
      <c r="G248">
        <f>F248*1.1</f>
        <v>231.00000000000003</v>
      </c>
      <c r="H248" s="7">
        <v>2295</v>
      </c>
      <c r="I248">
        <f>H248*1.4</f>
        <v>3213</v>
      </c>
      <c r="J248">
        <f>I248*1.1</f>
        <v>3534.3</v>
      </c>
      <c r="K248" s="7" t="s">
        <v>526</v>
      </c>
    </row>
    <row r="249" spans="1:11">
      <c r="F249">
        <f t="shared" ref="F249" si="52">E249*1.4</f>
        <v>0</v>
      </c>
      <c r="G249">
        <f t="shared" ref="G249" si="53">F249*1.1</f>
        <v>0</v>
      </c>
      <c r="I249">
        <f t="shared" ref="I249" si="54">H249*1.4</f>
        <v>0</v>
      </c>
      <c r="J249">
        <f t="shared" ref="J249" si="55">I249*1.1</f>
        <v>0</v>
      </c>
    </row>
    <row r="250" spans="1:11">
      <c r="B250" t="s">
        <v>532</v>
      </c>
      <c r="C250" t="s">
        <v>538</v>
      </c>
      <c r="E250" s="7">
        <v>10</v>
      </c>
      <c r="F250">
        <f t="shared" ref="F250:F270" si="56">E250*1.4</f>
        <v>14</v>
      </c>
      <c r="G250">
        <f t="shared" ref="G250:G270" si="57">F250*1.1</f>
        <v>15.400000000000002</v>
      </c>
      <c r="I250">
        <f t="shared" ref="I250:I270" si="58">H250*1.4</f>
        <v>0</v>
      </c>
      <c r="J250">
        <f t="shared" ref="J250:J270" si="59">I250*1.1</f>
        <v>0</v>
      </c>
      <c r="K250" s="7" t="s">
        <v>661</v>
      </c>
    </row>
    <row r="251" spans="1:11">
      <c r="B251" t="s">
        <v>532</v>
      </c>
      <c r="C251" t="s">
        <v>548</v>
      </c>
      <c r="E251" s="7">
        <v>55</v>
      </c>
      <c r="F251">
        <f t="shared" si="56"/>
        <v>77</v>
      </c>
      <c r="G251">
        <f t="shared" si="57"/>
        <v>84.7</v>
      </c>
      <c r="H251" s="7">
        <v>400</v>
      </c>
      <c r="I251">
        <f t="shared" si="58"/>
        <v>560</v>
      </c>
      <c r="J251">
        <f t="shared" si="59"/>
        <v>616</v>
      </c>
      <c r="K251" s="7" t="s">
        <v>673</v>
      </c>
    </row>
    <row r="252" spans="1:11">
      <c r="B252" t="s">
        <v>532</v>
      </c>
      <c r="C252" t="s">
        <v>535</v>
      </c>
      <c r="E252" s="7">
        <v>55</v>
      </c>
      <c r="F252">
        <f t="shared" si="56"/>
        <v>77</v>
      </c>
      <c r="G252">
        <f t="shared" si="57"/>
        <v>84.7</v>
      </c>
      <c r="H252" s="7">
        <v>910</v>
      </c>
      <c r="I252">
        <f t="shared" si="58"/>
        <v>1274</v>
      </c>
      <c r="J252">
        <f t="shared" si="59"/>
        <v>1401.4</v>
      </c>
      <c r="K252" s="7" t="s">
        <v>658</v>
      </c>
    </row>
    <row r="253" spans="1:11">
      <c r="B253" t="s">
        <v>532</v>
      </c>
      <c r="C253" t="s">
        <v>547</v>
      </c>
      <c r="F253">
        <f t="shared" si="56"/>
        <v>0</v>
      </c>
      <c r="G253">
        <f t="shared" si="57"/>
        <v>0</v>
      </c>
      <c r="H253" s="7">
        <v>400</v>
      </c>
      <c r="I253">
        <f t="shared" si="58"/>
        <v>560</v>
      </c>
      <c r="J253">
        <f t="shared" si="59"/>
        <v>616</v>
      </c>
    </row>
    <row r="254" spans="1:11">
      <c r="B254" t="s">
        <v>532</v>
      </c>
      <c r="C254" t="s">
        <v>540</v>
      </c>
      <c r="E254" s="7">
        <v>15</v>
      </c>
      <c r="F254">
        <f t="shared" si="56"/>
        <v>21</v>
      </c>
      <c r="G254">
        <f t="shared" si="57"/>
        <v>23.1</v>
      </c>
      <c r="H254" s="7">
        <v>150</v>
      </c>
      <c r="I254">
        <f t="shared" si="58"/>
        <v>210</v>
      </c>
      <c r="J254">
        <f t="shared" si="59"/>
        <v>231.00000000000003</v>
      </c>
      <c r="K254" s="7" t="s">
        <v>663</v>
      </c>
    </row>
    <row r="255" spans="1:11">
      <c r="B255" t="s">
        <v>532</v>
      </c>
      <c r="C255" t="s">
        <v>553</v>
      </c>
      <c r="D255" s="3" t="s">
        <v>679</v>
      </c>
      <c r="E255" s="7">
        <v>15</v>
      </c>
      <c r="F255">
        <f t="shared" si="56"/>
        <v>21</v>
      </c>
      <c r="G255">
        <f t="shared" si="57"/>
        <v>23.1</v>
      </c>
      <c r="H255" s="7">
        <v>400</v>
      </c>
      <c r="I255">
        <f t="shared" si="58"/>
        <v>560</v>
      </c>
      <c r="J255">
        <f t="shared" si="59"/>
        <v>616</v>
      </c>
      <c r="K255" s="7" t="s">
        <v>680</v>
      </c>
    </row>
    <row r="256" spans="1:11">
      <c r="B256" t="s">
        <v>532</v>
      </c>
      <c r="C256" t="s">
        <v>549</v>
      </c>
      <c r="D256" s="3" t="s">
        <v>674</v>
      </c>
      <c r="E256" s="7">
        <v>20</v>
      </c>
      <c r="F256">
        <f t="shared" si="56"/>
        <v>28</v>
      </c>
      <c r="G256">
        <f t="shared" si="57"/>
        <v>30.800000000000004</v>
      </c>
      <c r="H256" s="7">
        <v>275</v>
      </c>
      <c r="I256">
        <f t="shared" si="58"/>
        <v>385</v>
      </c>
      <c r="J256">
        <f t="shared" si="59"/>
        <v>423.50000000000006</v>
      </c>
      <c r="K256" s="7" t="s">
        <v>675</v>
      </c>
    </row>
    <row r="257" spans="2:11">
      <c r="B257" t="s">
        <v>532</v>
      </c>
      <c r="C257" t="s">
        <v>537</v>
      </c>
      <c r="E257" s="7">
        <v>20</v>
      </c>
      <c r="F257">
        <f t="shared" si="56"/>
        <v>28</v>
      </c>
      <c r="G257">
        <f t="shared" si="57"/>
        <v>30.800000000000004</v>
      </c>
      <c r="H257" s="7">
        <v>350</v>
      </c>
      <c r="I257">
        <f t="shared" si="58"/>
        <v>489.99999999999994</v>
      </c>
      <c r="J257">
        <f t="shared" si="59"/>
        <v>539</v>
      </c>
      <c r="K257" s="7" t="s">
        <v>660</v>
      </c>
    </row>
    <row r="258" spans="2:11">
      <c r="B258" t="s">
        <v>532</v>
      </c>
      <c r="C258" t="s">
        <v>534</v>
      </c>
      <c r="D258" s="3" t="s">
        <v>656</v>
      </c>
      <c r="E258" s="7">
        <v>45</v>
      </c>
      <c r="F258">
        <f t="shared" si="56"/>
        <v>62.999999999999993</v>
      </c>
      <c r="G258">
        <f t="shared" si="57"/>
        <v>69.3</v>
      </c>
      <c r="H258" s="7">
        <v>527</v>
      </c>
      <c r="I258">
        <f t="shared" si="58"/>
        <v>737.8</v>
      </c>
      <c r="J258">
        <f t="shared" si="59"/>
        <v>811.58</v>
      </c>
      <c r="K258" s="7" t="s">
        <v>657</v>
      </c>
    </row>
    <row r="259" spans="2:11">
      <c r="B259" t="s">
        <v>532</v>
      </c>
      <c r="C259" t="s">
        <v>539</v>
      </c>
      <c r="E259" s="7">
        <v>10</v>
      </c>
      <c r="F259">
        <f t="shared" si="56"/>
        <v>14</v>
      </c>
      <c r="G259">
        <f t="shared" si="57"/>
        <v>15.400000000000002</v>
      </c>
      <c r="H259" s="7">
        <v>160</v>
      </c>
      <c r="I259">
        <f t="shared" si="58"/>
        <v>224</v>
      </c>
      <c r="J259">
        <f t="shared" si="59"/>
        <v>246.40000000000003</v>
      </c>
      <c r="K259" s="7" t="s">
        <v>662</v>
      </c>
    </row>
    <row r="260" spans="2:11">
      <c r="B260" t="s">
        <v>532</v>
      </c>
      <c r="C260" t="s">
        <v>533</v>
      </c>
      <c r="E260" s="7">
        <v>35</v>
      </c>
      <c r="F260">
        <f t="shared" si="56"/>
        <v>49</v>
      </c>
      <c r="G260">
        <f t="shared" si="57"/>
        <v>53.900000000000006</v>
      </c>
      <c r="H260" s="7">
        <v>750</v>
      </c>
      <c r="I260">
        <f t="shared" si="58"/>
        <v>1050</v>
      </c>
      <c r="J260">
        <f t="shared" si="59"/>
        <v>1155</v>
      </c>
      <c r="K260" s="7" t="s">
        <v>655</v>
      </c>
    </row>
    <row r="261" spans="2:11">
      <c r="B261" t="s">
        <v>532</v>
      </c>
      <c r="C261" t="s">
        <v>550</v>
      </c>
      <c r="D261" s="3" t="s">
        <v>676</v>
      </c>
      <c r="E261" s="7">
        <v>39</v>
      </c>
      <c r="F261">
        <f t="shared" si="56"/>
        <v>54.599999999999994</v>
      </c>
      <c r="G261">
        <f t="shared" si="57"/>
        <v>60.059999999999995</v>
      </c>
      <c r="H261" s="7">
        <v>950</v>
      </c>
      <c r="I261">
        <f t="shared" si="58"/>
        <v>1330</v>
      </c>
      <c r="J261">
        <f t="shared" si="59"/>
        <v>1463.0000000000002</v>
      </c>
      <c r="K261" s="7" t="s">
        <v>677</v>
      </c>
    </row>
    <row r="262" spans="2:11">
      <c r="B262" t="s">
        <v>532</v>
      </c>
      <c r="C262" t="s">
        <v>543</v>
      </c>
      <c r="E262" s="7">
        <v>20</v>
      </c>
      <c r="F262">
        <f t="shared" si="56"/>
        <v>28</v>
      </c>
      <c r="G262">
        <f t="shared" si="57"/>
        <v>30.800000000000004</v>
      </c>
      <c r="H262" s="7">
        <v>441</v>
      </c>
      <c r="I262">
        <f t="shared" si="58"/>
        <v>617.4</v>
      </c>
      <c r="J262">
        <f t="shared" si="59"/>
        <v>679.14</v>
      </c>
      <c r="K262" s="7" t="s">
        <v>666</v>
      </c>
    </row>
    <row r="263" spans="2:11">
      <c r="B263" t="s">
        <v>532</v>
      </c>
      <c r="C263" t="s">
        <v>542</v>
      </c>
      <c r="E263" s="7">
        <v>25</v>
      </c>
      <c r="F263">
        <f t="shared" si="56"/>
        <v>35</v>
      </c>
      <c r="G263">
        <f t="shared" si="57"/>
        <v>38.5</v>
      </c>
      <c r="H263" s="7">
        <v>366</v>
      </c>
      <c r="I263">
        <f t="shared" si="58"/>
        <v>512.4</v>
      </c>
      <c r="J263">
        <f t="shared" si="59"/>
        <v>563.64</v>
      </c>
      <c r="K263" s="7" t="s">
        <v>665</v>
      </c>
    </row>
    <row r="264" spans="2:11">
      <c r="B264" t="s">
        <v>532</v>
      </c>
      <c r="C264" t="s">
        <v>551</v>
      </c>
      <c r="E264" s="7">
        <v>9</v>
      </c>
      <c r="F264">
        <f t="shared" si="56"/>
        <v>12.6</v>
      </c>
      <c r="G264">
        <f t="shared" si="57"/>
        <v>13.860000000000001</v>
      </c>
      <c r="H264" s="7">
        <v>145</v>
      </c>
      <c r="I264">
        <f t="shared" si="58"/>
        <v>203</v>
      </c>
      <c r="J264">
        <f t="shared" si="59"/>
        <v>223.3</v>
      </c>
      <c r="K264" s="7" t="s">
        <v>678</v>
      </c>
    </row>
    <row r="265" spans="2:11">
      <c r="B265" t="s">
        <v>532</v>
      </c>
      <c r="C265" t="s">
        <v>552</v>
      </c>
      <c r="E265" s="7">
        <v>9</v>
      </c>
      <c r="F265">
        <f t="shared" si="56"/>
        <v>12.6</v>
      </c>
      <c r="G265">
        <f t="shared" si="57"/>
        <v>13.860000000000001</v>
      </c>
      <c r="H265" s="7">
        <v>125</v>
      </c>
      <c r="I265">
        <f t="shared" si="58"/>
        <v>175</v>
      </c>
      <c r="J265">
        <f t="shared" si="59"/>
        <v>192.50000000000003</v>
      </c>
    </row>
    <row r="266" spans="2:11">
      <c r="B266" t="s">
        <v>532</v>
      </c>
      <c r="C266" t="s">
        <v>544</v>
      </c>
      <c r="D266" s="3" t="s">
        <v>667</v>
      </c>
      <c r="E266" s="7">
        <v>23</v>
      </c>
      <c r="F266">
        <f t="shared" si="56"/>
        <v>32.199999999999996</v>
      </c>
      <c r="G266">
        <f t="shared" si="57"/>
        <v>35.42</v>
      </c>
      <c r="H266" s="7">
        <v>400</v>
      </c>
      <c r="I266">
        <f t="shared" si="58"/>
        <v>560</v>
      </c>
      <c r="J266">
        <f t="shared" si="59"/>
        <v>616</v>
      </c>
      <c r="K266" s="7" t="s">
        <v>668</v>
      </c>
    </row>
    <row r="267" spans="2:11">
      <c r="B267" t="s">
        <v>532</v>
      </c>
      <c r="C267" t="s">
        <v>541</v>
      </c>
      <c r="E267" s="7">
        <v>20</v>
      </c>
      <c r="F267">
        <f t="shared" si="56"/>
        <v>28</v>
      </c>
      <c r="G267">
        <f t="shared" si="57"/>
        <v>30.800000000000004</v>
      </c>
      <c r="I267">
        <f t="shared" si="58"/>
        <v>0</v>
      </c>
      <c r="J267">
        <f t="shared" si="59"/>
        <v>0</v>
      </c>
      <c r="K267" s="7" t="s">
        <v>664</v>
      </c>
    </row>
    <row r="268" spans="2:11">
      <c r="B268" t="s">
        <v>532</v>
      </c>
      <c r="C268" t="s">
        <v>536</v>
      </c>
      <c r="E268" s="7">
        <v>30</v>
      </c>
      <c r="F268">
        <f t="shared" si="56"/>
        <v>42</v>
      </c>
      <c r="G268">
        <f t="shared" si="57"/>
        <v>46.2</v>
      </c>
      <c r="I268">
        <f t="shared" si="58"/>
        <v>0</v>
      </c>
      <c r="J268">
        <f t="shared" si="59"/>
        <v>0</v>
      </c>
      <c r="K268" s="7" t="s">
        <v>659</v>
      </c>
    </row>
    <row r="269" spans="2:11">
      <c r="B269" t="s">
        <v>532</v>
      </c>
      <c r="C269" t="s">
        <v>546</v>
      </c>
      <c r="D269" s="3" t="s">
        <v>671</v>
      </c>
      <c r="E269" s="7">
        <v>25</v>
      </c>
      <c r="F269">
        <f t="shared" si="56"/>
        <v>35</v>
      </c>
      <c r="G269">
        <f t="shared" si="57"/>
        <v>38.5</v>
      </c>
      <c r="H269" s="7">
        <v>546</v>
      </c>
      <c r="I269">
        <f t="shared" si="58"/>
        <v>764.4</v>
      </c>
      <c r="J269">
        <f t="shared" si="59"/>
        <v>840.84</v>
      </c>
      <c r="K269" s="7" t="s">
        <v>672</v>
      </c>
    </row>
    <row r="270" spans="2:11">
      <c r="B270" t="s">
        <v>532</v>
      </c>
      <c r="C270" t="s">
        <v>545</v>
      </c>
      <c r="D270" s="3" t="s">
        <v>669</v>
      </c>
      <c r="E270" s="7">
        <v>16</v>
      </c>
      <c r="F270">
        <f t="shared" si="56"/>
        <v>22.4</v>
      </c>
      <c r="G270">
        <f t="shared" si="57"/>
        <v>24.64</v>
      </c>
      <c r="H270" s="7">
        <v>366</v>
      </c>
      <c r="I270">
        <f t="shared" si="58"/>
        <v>512.4</v>
      </c>
      <c r="J270">
        <f t="shared" si="59"/>
        <v>563.64</v>
      </c>
      <c r="K270" s="7" t="s">
        <v>670</v>
      </c>
    </row>
    <row r="271" spans="2:11">
      <c r="F271">
        <f t="shared" ref="F271:F308" si="60">E271*1.4</f>
        <v>0</v>
      </c>
      <c r="G271">
        <f t="shared" ref="G271:G308" si="61">F271*1.1</f>
        <v>0</v>
      </c>
      <c r="I271">
        <f t="shared" ref="I271:I308" si="62">H271*1.4</f>
        <v>0</v>
      </c>
      <c r="J271">
        <f t="shared" ref="J271:J308" si="63">I271*1.1</f>
        <v>0</v>
      </c>
    </row>
    <row r="272" spans="2:11">
      <c r="B272" t="s">
        <v>554</v>
      </c>
      <c r="C272" t="s">
        <v>562</v>
      </c>
      <c r="E272" s="7">
        <v>120</v>
      </c>
      <c r="F272">
        <f t="shared" ref="F272:F306" si="64">E272*1.4</f>
        <v>168</v>
      </c>
      <c r="G272">
        <f t="shared" ref="G272:G306" si="65">F272*1.1</f>
        <v>184.8</v>
      </c>
      <c r="H272" s="7">
        <v>4000</v>
      </c>
      <c r="I272">
        <f t="shared" ref="I272:I306" si="66">H272*1.4</f>
        <v>5600</v>
      </c>
      <c r="J272">
        <f t="shared" ref="J272:J306" si="67">I272*1.1</f>
        <v>6160.0000000000009</v>
      </c>
    </row>
    <row r="273" spans="2:11">
      <c r="B273" t="s">
        <v>554</v>
      </c>
      <c r="C273" t="s">
        <v>575</v>
      </c>
      <c r="F273">
        <f t="shared" si="64"/>
        <v>0</v>
      </c>
      <c r="G273">
        <f t="shared" si="65"/>
        <v>0</v>
      </c>
      <c r="H273" s="7">
        <v>17900</v>
      </c>
      <c r="I273">
        <f t="shared" si="66"/>
        <v>25060</v>
      </c>
      <c r="J273">
        <f t="shared" si="67"/>
        <v>27566.000000000004</v>
      </c>
      <c r="K273" s="7" t="s">
        <v>714</v>
      </c>
    </row>
    <row r="274" spans="2:11">
      <c r="B274" t="s">
        <v>554</v>
      </c>
      <c r="C274" t="s">
        <v>557</v>
      </c>
      <c r="E274" s="7">
        <v>99</v>
      </c>
      <c r="F274">
        <f t="shared" si="64"/>
        <v>138.6</v>
      </c>
      <c r="G274">
        <f t="shared" si="65"/>
        <v>152.46</v>
      </c>
      <c r="H274" s="7">
        <v>30000</v>
      </c>
      <c r="I274">
        <f t="shared" si="66"/>
        <v>42000</v>
      </c>
      <c r="J274">
        <f t="shared" si="67"/>
        <v>46200.000000000007</v>
      </c>
      <c r="K274" s="7" t="s">
        <v>723</v>
      </c>
    </row>
    <row r="275" spans="2:11">
      <c r="B275" t="s">
        <v>554</v>
      </c>
      <c r="C275" t="s">
        <v>572</v>
      </c>
      <c r="E275" s="7">
        <v>115</v>
      </c>
      <c r="F275">
        <f t="shared" si="64"/>
        <v>161</v>
      </c>
      <c r="G275">
        <f t="shared" si="65"/>
        <v>177.10000000000002</v>
      </c>
      <c r="H275" s="7">
        <v>20000</v>
      </c>
      <c r="I275">
        <f t="shared" si="66"/>
        <v>28000</v>
      </c>
      <c r="J275">
        <f t="shared" si="67"/>
        <v>30800.000000000004</v>
      </c>
      <c r="K275" s="7" t="s">
        <v>712</v>
      </c>
    </row>
    <row r="276" spans="2:11">
      <c r="B276" t="s">
        <v>554</v>
      </c>
      <c r="C276" t="s">
        <v>688</v>
      </c>
      <c r="F276">
        <f t="shared" si="64"/>
        <v>0</v>
      </c>
      <c r="G276">
        <f t="shared" si="65"/>
        <v>0</v>
      </c>
      <c r="I276">
        <f t="shared" si="66"/>
        <v>0</v>
      </c>
      <c r="J276">
        <f t="shared" si="67"/>
        <v>0</v>
      </c>
      <c r="K276" s="7" t="s">
        <v>687</v>
      </c>
    </row>
    <row r="277" spans="2:11">
      <c r="B277" t="s">
        <v>554</v>
      </c>
      <c r="C277" t="s">
        <v>698</v>
      </c>
      <c r="E277" s="7">
        <v>117</v>
      </c>
      <c r="F277">
        <f t="shared" si="64"/>
        <v>163.79999999999998</v>
      </c>
      <c r="G277">
        <f t="shared" si="65"/>
        <v>180.18</v>
      </c>
      <c r="H277" s="7">
        <v>22000</v>
      </c>
      <c r="I277">
        <f t="shared" si="66"/>
        <v>30799.999999999996</v>
      </c>
      <c r="J277">
        <f t="shared" si="67"/>
        <v>33880</v>
      </c>
      <c r="K277" s="7" t="s">
        <v>689</v>
      </c>
    </row>
    <row r="278" spans="2:11">
      <c r="B278" t="s">
        <v>554</v>
      </c>
      <c r="C278" t="s">
        <v>699</v>
      </c>
      <c r="E278" s="7">
        <v>110</v>
      </c>
      <c r="F278">
        <f t="shared" si="64"/>
        <v>154</v>
      </c>
      <c r="G278">
        <f t="shared" si="65"/>
        <v>169.4</v>
      </c>
      <c r="H278" s="7">
        <v>22000</v>
      </c>
      <c r="I278">
        <f t="shared" si="66"/>
        <v>30799.999999999996</v>
      </c>
      <c r="J278">
        <f t="shared" si="67"/>
        <v>33880</v>
      </c>
      <c r="K278" s="7" t="s">
        <v>690</v>
      </c>
    </row>
    <row r="279" spans="2:11">
      <c r="B279" t="s">
        <v>554</v>
      </c>
      <c r="C279" t="s">
        <v>700</v>
      </c>
      <c r="E279" s="7">
        <v>100</v>
      </c>
      <c r="F279">
        <f t="shared" si="64"/>
        <v>140</v>
      </c>
      <c r="G279">
        <f t="shared" si="65"/>
        <v>154</v>
      </c>
      <c r="H279" s="7">
        <v>21000</v>
      </c>
      <c r="I279">
        <f t="shared" si="66"/>
        <v>29399.999999999996</v>
      </c>
      <c r="J279">
        <f t="shared" si="67"/>
        <v>32340</v>
      </c>
      <c r="K279" s="7" t="s">
        <v>691</v>
      </c>
    </row>
    <row r="280" spans="2:11">
      <c r="B280" t="s">
        <v>554</v>
      </c>
      <c r="C280" t="s">
        <v>555</v>
      </c>
      <c r="E280" s="7">
        <v>250</v>
      </c>
      <c r="F280">
        <f t="shared" si="64"/>
        <v>350</v>
      </c>
      <c r="G280">
        <f t="shared" si="65"/>
        <v>385.00000000000006</v>
      </c>
      <c r="H280" s="7">
        <v>10000</v>
      </c>
      <c r="I280">
        <f t="shared" si="66"/>
        <v>14000</v>
      </c>
      <c r="J280">
        <f t="shared" si="67"/>
        <v>15400.000000000002</v>
      </c>
      <c r="K280" s="7" t="s">
        <v>681</v>
      </c>
    </row>
    <row r="281" spans="2:11">
      <c r="B281" t="s">
        <v>554</v>
      </c>
      <c r="C281" t="s">
        <v>580</v>
      </c>
      <c r="F281">
        <f t="shared" si="64"/>
        <v>0</v>
      </c>
      <c r="G281">
        <f t="shared" si="65"/>
        <v>0</v>
      </c>
      <c r="H281" s="7">
        <v>18500</v>
      </c>
      <c r="I281">
        <f t="shared" si="66"/>
        <v>25900</v>
      </c>
      <c r="J281">
        <f t="shared" si="67"/>
        <v>28490.000000000004</v>
      </c>
      <c r="K281" s="7" t="s">
        <v>719</v>
      </c>
    </row>
    <row r="282" spans="2:11">
      <c r="B282" t="s">
        <v>554</v>
      </c>
      <c r="C282" t="s">
        <v>566</v>
      </c>
      <c r="E282" s="7">
        <v>115</v>
      </c>
      <c r="F282">
        <f t="shared" si="64"/>
        <v>161</v>
      </c>
      <c r="G282">
        <f t="shared" si="65"/>
        <v>177.10000000000002</v>
      </c>
      <c r="H282" s="7">
        <v>10000</v>
      </c>
      <c r="I282">
        <f t="shared" si="66"/>
        <v>14000</v>
      </c>
      <c r="J282">
        <f t="shared" si="67"/>
        <v>15400.000000000002</v>
      </c>
      <c r="K282" s="7" t="s">
        <v>706</v>
      </c>
    </row>
    <row r="283" spans="2:11">
      <c r="B283" t="s">
        <v>554</v>
      </c>
      <c r="C283" t="s">
        <v>561</v>
      </c>
      <c r="E283" s="7">
        <v>112</v>
      </c>
      <c r="F283">
        <f t="shared" si="64"/>
        <v>156.79999999999998</v>
      </c>
      <c r="G283">
        <f t="shared" si="65"/>
        <v>172.48</v>
      </c>
      <c r="H283" s="7">
        <v>20000</v>
      </c>
      <c r="I283">
        <f t="shared" si="66"/>
        <v>28000</v>
      </c>
      <c r="J283">
        <f t="shared" si="67"/>
        <v>30800.000000000004</v>
      </c>
      <c r="K283" s="7" t="s">
        <v>686</v>
      </c>
    </row>
    <row r="284" spans="2:11">
      <c r="B284" t="s">
        <v>554</v>
      </c>
      <c r="C284" t="s">
        <v>701</v>
      </c>
      <c r="E284" s="7">
        <v>125</v>
      </c>
      <c r="F284">
        <f t="shared" si="64"/>
        <v>175</v>
      </c>
      <c r="G284">
        <f t="shared" si="65"/>
        <v>192.50000000000003</v>
      </c>
      <c r="H284" s="7">
        <v>20000</v>
      </c>
      <c r="I284">
        <f t="shared" si="66"/>
        <v>28000</v>
      </c>
      <c r="J284">
        <f t="shared" si="67"/>
        <v>30800.000000000004</v>
      </c>
      <c r="K284" s="7" t="s">
        <v>692</v>
      </c>
    </row>
    <row r="285" spans="2:11">
      <c r="B285" t="s">
        <v>554</v>
      </c>
      <c r="C285" t="s">
        <v>556</v>
      </c>
      <c r="E285" s="7">
        <v>200</v>
      </c>
      <c r="F285">
        <f t="shared" si="64"/>
        <v>280</v>
      </c>
      <c r="G285">
        <f t="shared" si="65"/>
        <v>308</v>
      </c>
      <c r="H285" s="7">
        <v>7000</v>
      </c>
      <c r="I285">
        <f t="shared" si="66"/>
        <v>9800</v>
      </c>
      <c r="J285">
        <f t="shared" si="67"/>
        <v>10780</v>
      </c>
      <c r="K285" s="7" t="s">
        <v>682</v>
      </c>
    </row>
    <row r="286" spans="2:11">
      <c r="B286" t="s">
        <v>554</v>
      </c>
      <c r="C286" t="s">
        <v>579</v>
      </c>
      <c r="F286">
        <f t="shared" si="64"/>
        <v>0</v>
      </c>
      <c r="G286">
        <f t="shared" si="65"/>
        <v>0</v>
      </c>
      <c r="H286" s="7">
        <v>17900</v>
      </c>
      <c r="I286">
        <f t="shared" si="66"/>
        <v>25060</v>
      </c>
      <c r="J286">
        <f t="shared" si="67"/>
        <v>27566.000000000004</v>
      </c>
      <c r="K286" s="7" t="s">
        <v>718</v>
      </c>
    </row>
    <row r="287" spans="2:11">
      <c r="B287" t="s">
        <v>554</v>
      </c>
      <c r="C287" t="s">
        <v>567</v>
      </c>
      <c r="E287" s="7">
        <v>115</v>
      </c>
      <c r="F287">
        <f t="shared" si="64"/>
        <v>161</v>
      </c>
      <c r="G287">
        <f t="shared" si="65"/>
        <v>177.10000000000002</v>
      </c>
      <c r="H287" s="7">
        <v>10000</v>
      </c>
      <c r="I287">
        <f t="shared" si="66"/>
        <v>14000</v>
      </c>
      <c r="J287">
        <f t="shared" si="67"/>
        <v>15400.000000000002</v>
      </c>
      <c r="K287" s="7" t="s">
        <v>707</v>
      </c>
    </row>
    <row r="288" spans="2:11">
      <c r="B288" t="s">
        <v>554</v>
      </c>
      <c r="C288" t="s">
        <v>560</v>
      </c>
      <c r="E288" s="7">
        <v>99</v>
      </c>
      <c r="F288">
        <f t="shared" si="64"/>
        <v>138.6</v>
      </c>
      <c r="G288">
        <f t="shared" si="65"/>
        <v>152.46</v>
      </c>
      <c r="H288" s="7">
        <v>20000</v>
      </c>
      <c r="I288">
        <f t="shared" si="66"/>
        <v>28000</v>
      </c>
      <c r="J288">
        <f t="shared" si="67"/>
        <v>30800.000000000004</v>
      </c>
      <c r="K288" s="7" t="s">
        <v>685</v>
      </c>
    </row>
    <row r="289" spans="2:11">
      <c r="B289" t="s">
        <v>554</v>
      </c>
      <c r="C289" t="s">
        <v>702</v>
      </c>
      <c r="E289" s="7">
        <v>125</v>
      </c>
      <c r="F289">
        <f t="shared" si="64"/>
        <v>175</v>
      </c>
      <c r="G289">
        <f t="shared" si="65"/>
        <v>192.50000000000003</v>
      </c>
      <c r="H289" s="7">
        <v>20000</v>
      </c>
      <c r="I289">
        <f t="shared" si="66"/>
        <v>28000</v>
      </c>
      <c r="J289">
        <f t="shared" si="67"/>
        <v>30800.000000000004</v>
      </c>
      <c r="K289" s="7" t="s">
        <v>694</v>
      </c>
    </row>
    <row r="290" spans="2:11">
      <c r="B290" t="s">
        <v>554</v>
      </c>
      <c r="C290" t="s">
        <v>703</v>
      </c>
      <c r="E290" s="7">
        <v>99</v>
      </c>
      <c r="F290">
        <f t="shared" si="64"/>
        <v>138.6</v>
      </c>
      <c r="G290">
        <f t="shared" si="65"/>
        <v>152.46</v>
      </c>
      <c r="H290" s="7">
        <v>20000</v>
      </c>
      <c r="I290">
        <f t="shared" si="66"/>
        <v>28000</v>
      </c>
      <c r="J290">
        <f t="shared" si="67"/>
        <v>30800.000000000004</v>
      </c>
      <c r="K290" s="7" t="s">
        <v>693</v>
      </c>
    </row>
    <row r="291" spans="2:11">
      <c r="B291" t="s">
        <v>554</v>
      </c>
      <c r="C291" t="s">
        <v>568</v>
      </c>
      <c r="E291" s="7">
        <v>115</v>
      </c>
      <c r="F291">
        <f t="shared" si="64"/>
        <v>161</v>
      </c>
      <c r="G291">
        <f t="shared" si="65"/>
        <v>177.10000000000002</v>
      </c>
      <c r="H291" s="7">
        <v>10000</v>
      </c>
      <c r="I291">
        <f t="shared" si="66"/>
        <v>14000</v>
      </c>
      <c r="J291">
        <f t="shared" si="67"/>
        <v>15400.000000000002</v>
      </c>
      <c r="K291" s="7" t="s">
        <v>708</v>
      </c>
    </row>
    <row r="292" spans="2:11">
      <c r="B292" t="s">
        <v>554</v>
      </c>
      <c r="C292" t="s">
        <v>563</v>
      </c>
      <c r="E292" s="7">
        <v>99</v>
      </c>
      <c r="F292">
        <f t="shared" si="64"/>
        <v>138.6</v>
      </c>
      <c r="G292">
        <f t="shared" si="65"/>
        <v>152.46</v>
      </c>
      <c r="H292" s="7">
        <v>7300</v>
      </c>
      <c r="I292">
        <f t="shared" si="66"/>
        <v>10220</v>
      </c>
      <c r="J292">
        <f t="shared" si="67"/>
        <v>11242</v>
      </c>
      <c r="K292" s="7" t="s">
        <v>720</v>
      </c>
    </row>
    <row r="293" spans="2:11">
      <c r="B293" t="s">
        <v>554</v>
      </c>
      <c r="C293" t="s">
        <v>578</v>
      </c>
      <c r="F293">
        <f t="shared" si="64"/>
        <v>0</v>
      </c>
      <c r="G293">
        <f t="shared" si="65"/>
        <v>0</v>
      </c>
      <c r="H293" s="7">
        <v>17900</v>
      </c>
      <c r="I293">
        <f t="shared" si="66"/>
        <v>25060</v>
      </c>
      <c r="J293">
        <f t="shared" si="67"/>
        <v>27566.000000000004</v>
      </c>
      <c r="K293" s="7" t="s">
        <v>717</v>
      </c>
    </row>
    <row r="294" spans="2:11">
      <c r="B294" t="s">
        <v>554</v>
      </c>
      <c r="C294" t="s">
        <v>704</v>
      </c>
      <c r="E294" s="7">
        <v>100</v>
      </c>
      <c r="F294">
        <f t="shared" si="64"/>
        <v>140</v>
      </c>
      <c r="G294">
        <f t="shared" si="65"/>
        <v>154</v>
      </c>
      <c r="H294" s="7">
        <v>20000</v>
      </c>
      <c r="I294">
        <f t="shared" si="66"/>
        <v>28000</v>
      </c>
      <c r="J294">
        <f t="shared" si="67"/>
        <v>30800.000000000004</v>
      </c>
      <c r="K294" s="7" t="s">
        <v>721</v>
      </c>
    </row>
    <row r="295" spans="2:11">
      <c r="B295" t="s">
        <v>554</v>
      </c>
      <c r="C295" t="s">
        <v>569</v>
      </c>
      <c r="E295" s="7">
        <v>115</v>
      </c>
      <c r="F295">
        <f t="shared" si="64"/>
        <v>161</v>
      </c>
      <c r="G295">
        <f t="shared" si="65"/>
        <v>177.10000000000002</v>
      </c>
      <c r="H295" s="7">
        <v>10000</v>
      </c>
      <c r="I295">
        <f t="shared" si="66"/>
        <v>14000</v>
      </c>
      <c r="J295">
        <f t="shared" si="67"/>
        <v>15400.000000000002</v>
      </c>
      <c r="K295" s="7" t="s">
        <v>709</v>
      </c>
    </row>
    <row r="296" spans="2:11">
      <c r="B296" t="s">
        <v>554</v>
      </c>
      <c r="C296" t="s">
        <v>564</v>
      </c>
      <c r="E296" s="7">
        <v>99</v>
      </c>
      <c r="F296">
        <f t="shared" si="64"/>
        <v>138.6</v>
      </c>
      <c r="G296">
        <f t="shared" si="65"/>
        <v>152.46</v>
      </c>
      <c r="H296" s="7">
        <v>7300</v>
      </c>
      <c r="I296">
        <f t="shared" si="66"/>
        <v>10220</v>
      </c>
      <c r="J296">
        <f t="shared" si="67"/>
        <v>11242</v>
      </c>
      <c r="K296" s="7" t="s">
        <v>696</v>
      </c>
    </row>
    <row r="297" spans="2:11">
      <c r="B297" t="s">
        <v>554</v>
      </c>
      <c r="C297" t="s">
        <v>577</v>
      </c>
      <c r="F297">
        <f t="shared" si="64"/>
        <v>0</v>
      </c>
      <c r="G297">
        <f t="shared" si="65"/>
        <v>0</v>
      </c>
      <c r="H297" s="7">
        <v>17900</v>
      </c>
      <c r="I297">
        <f t="shared" si="66"/>
        <v>25060</v>
      </c>
      <c r="J297">
        <f t="shared" si="67"/>
        <v>27566.000000000004</v>
      </c>
      <c r="K297" s="7" t="s">
        <v>716</v>
      </c>
    </row>
    <row r="298" spans="2:11">
      <c r="B298" t="s">
        <v>554</v>
      </c>
      <c r="C298" t="s">
        <v>570</v>
      </c>
      <c r="E298" s="7">
        <v>115</v>
      </c>
      <c r="F298">
        <f t="shared" si="64"/>
        <v>161</v>
      </c>
      <c r="G298">
        <f t="shared" si="65"/>
        <v>177.10000000000002</v>
      </c>
      <c r="H298" s="7">
        <v>10000</v>
      </c>
      <c r="I298">
        <f t="shared" si="66"/>
        <v>14000</v>
      </c>
      <c r="J298">
        <f t="shared" si="67"/>
        <v>15400.000000000002</v>
      </c>
      <c r="K298" s="7" t="s">
        <v>710</v>
      </c>
    </row>
    <row r="299" spans="2:11">
      <c r="B299" t="s">
        <v>554</v>
      </c>
      <c r="C299" t="s">
        <v>559</v>
      </c>
      <c r="E299" s="7">
        <v>99</v>
      </c>
      <c r="F299">
        <f t="shared" si="64"/>
        <v>138.6</v>
      </c>
      <c r="G299">
        <f t="shared" si="65"/>
        <v>152.46</v>
      </c>
      <c r="H299" s="7">
        <v>20000</v>
      </c>
      <c r="I299">
        <f t="shared" si="66"/>
        <v>28000</v>
      </c>
      <c r="J299">
        <f t="shared" si="67"/>
        <v>30800.000000000004</v>
      </c>
      <c r="K299" s="7" t="s">
        <v>684</v>
      </c>
    </row>
    <row r="300" spans="2:11">
      <c r="B300" t="s">
        <v>554</v>
      </c>
      <c r="C300" t="s">
        <v>705</v>
      </c>
      <c r="E300" s="7">
        <v>100</v>
      </c>
      <c r="F300">
        <f t="shared" si="64"/>
        <v>140</v>
      </c>
      <c r="G300">
        <f t="shared" si="65"/>
        <v>154</v>
      </c>
      <c r="H300" s="7">
        <v>20000</v>
      </c>
      <c r="I300">
        <f t="shared" si="66"/>
        <v>28000</v>
      </c>
      <c r="J300">
        <f t="shared" si="67"/>
        <v>30800.000000000004</v>
      </c>
      <c r="K300" s="7" t="s">
        <v>695</v>
      </c>
    </row>
    <row r="301" spans="2:11">
      <c r="B301" t="s">
        <v>554</v>
      </c>
      <c r="C301" t="s">
        <v>565</v>
      </c>
      <c r="E301" s="7">
        <v>99</v>
      </c>
      <c r="F301">
        <f t="shared" si="64"/>
        <v>138.6</v>
      </c>
      <c r="G301">
        <f t="shared" si="65"/>
        <v>152.46</v>
      </c>
      <c r="H301" s="7">
        <v>7300</v>
      </c>
      <c r="I301">
        <f t="shared" si="66"/>
        <v>10220</v>
      </c>
      <c r="J301">
        <f t="shared" si="67"/>
        <v>11242</v>
      </c>
      <c r="K301" s="7" t="s">
        <v>697</v>
      </c>
    </row>
    <row r="302" spans="2:11">
      <c r="B302" t="s">
        <v>554</v>
      </c>
      <c r="C302" t="s">
        <v>576</v>
      </c>
      <c r="F302">
        <f t="shared" si="64"/>
        <v>0</v>
      </c>
      <c r="G302">
        <f t="shared" si="65"/>
        <v>0</v>
      </c>
      <c r="H302" s="7">
        <v>17900</v>
      </c>
      <c r="I302">
        <f t="shared" si="66"/>
        <v>25060</v>
      </c>
      <c r="J302">
        <f t="shared" si="67"/>
        <v>27566.000000000004</v>
      </c>
      <c r="K302" s="7" t="s">
        <v>715</v>
      </c>
    </row>
    <row r="303" spans="2:11">
      <c r="B303" t="s">
        <v>554</v>
      </c>
      <c r="C303" t="s">
        <v>571</v>
      </c>
      <c r="E303" s="7">
        <v>115</v>
      </c>
      <c r="F303">
        <f t="shared" si="64"/>
        <v>161</v>
      </c>
      <c r="G303">
        <f t="shared" si="65"/>
        <v>177.10000000000002</v>
      </c>
      <c r="H303" s="7">
        <v>10000</v>
      </c>
      <c r="I303">
        <f t="shared" si="66"/>
        <v>14000</v>
      </c>
      <c r="J303">
        <f t="shared" si="67"/>
        <v>15400.000000000002</v>
      </c>
      <c r="K303" s="7" t="s">
        <v>711</v>
      </c>
    </row>
    <row r="304" spans="2:11">
      <c r="B304" t="s">
        <v>554</v>
      </c>
      <c r="C304" t="s">
        <v>558</v>
      </c>
      <c r="E304" s="7">
        <v>99</v>
      </c>
      <c r="F304">
        <f t="shared" si="64"/>
        <v>138.6</v>
      </c>
      <c r="G304">
        <f t="shared" si="65"/>
        <v>152.46</v>
      </c>
      <c r="H304" s="7">
        <v>20000</v>
      </c>
      <c r="I304">
        <f t="shared" si="66"/>
        <v>28000</v>
      </c>
      <c r="J304">
        <f t="shared" si="67"/>
        <v>30800.000000000004</v>
      </c>
      <c r="K304" s="7" t="s">
        <v>683</v>
      </c>
    </row>
    <row r="305" spans="1:11">
      <c r="B305" t="s">
        <v>554</v>
      </c>
      <c r="C305" t="s">
        <v>573</v>
      </c>
      <c r="E305" s="7">
        <v>337</v>
      </c>
      <c r="F305">
        <f t="shared" si="64"/>
        <v>471.79999999999995</v>
      </c>
      <c r="G305">
        <f t="shared" si="65"/>
        <v>518.98</v>
      </c>
      <c r="H305" s="7">
        <v>42600</v>
      </c>
      <c r="I305">
        <f t="shared" si="66"/>
        <v>59639.999999999993</v>
      </c>
      <c r="J305">
        <f t="shared" si="67"/>
        <v>65604</v>
      </c>
      <c r="K305" s="7" t="s">
        <v>722</v>
      </c>
    </row>
    <row r="306" spans="1:11">
      <c r="B306" t="s">
        <v>554</v>
      </c>
      <c r="C306" t="s">
        <v>574</v>
      </c>
      <c r="E306" s="7">
        <v>285</v>
      </c>
      <c r="F306">
        <f t="shared" si="64"/>
        <v>399</v>
      </c>
      <c r="G306">
        <f t="shared" si="65"/>
        <v>438.90000000000003</v>
      </c>
      <c r="H306" s="7">
        <v>24500</v>
      </c>
      <c r="I306">
        <f t="shared" si="66"/>
        <v>34300</v>
      </c>
      <c r="J306">
        <f t="shared" si="67"/>
        <v>37730</v>
      </c>
      <c r="K306" s="7" t="s">
        <v>713</v>
      </c>
    </row>
    <row r="308" spans="1:11">
      <c r="B308" t="s">
        <v>581</v>
      </c>
      <c r="C308" t="s">
        <v>582</v>
      </c>
      <c r="E308" s="7">
        <v>75</v>
      </c>
      <c r="F308">
        <f t="shared" si="60"/>
        <v>105</v>
      </c>
      <c r="G308">
        <f t="shared" si="61"/>
        <v>115.50000000000001</v>
      </c>
      <c r="H308" s="7">
        <v>320</v>
      </c>
      <c r="I308">
        <f t="shared" si="62"/>
        <v>448</v>
      </c>
      <c r="J308">
        <f t="shared" si="63"/>
        <v>492.80000000000007</v>
      </c>
      <c r="K308" s="7" t="s">
        <v>583</v>
      </c>
    </row>
    <row r="310" spans="1:11" ht="23.25">
      <c r="A310" s="1" t="s">
        <v>724</v>
      </c>
      <c r="B310" s="13"/>
    </row>
    <row r="311" spans="1:11">
      <c r="B311" t="s">
        <v>725</v>
      </c>
      <c r="C311" t="s">
        <v>735</v>
      </c>
      <c r="D311" s="3" t="s">
        <v>764</v>
      </c>
      <c r="E311" s="7">
        <v>60</v>
      </c>
      <c r="F311">
        <f t="shared" ref="F311:F334" si="68">E311*1.4</f>
        <v>84</v>
      </c>
      <c r="G311">
        <f t="shared" ref="G311:G334" si="69">F311*1.1</f>
        <v>92.4</v>
      </c>
      <c r="H311" s="7">
        <v>2000</v>
      </c>
      <c r="I311">
        <f t="shared" ref="I311:I334" si="70">H311*1.4</f>
        <v>2800</v>
      </c>
      <c r="J311">
        <f t="shared" ref="J311:J334" si="71">I311*1.1</f>
        <v>3080.0000000000005</v>
      </c>
      <c r="K311" s="7" t="s">
        <v>765</v>
      </c>
    </row>
    <row r="312" spans="1:11">
      <c r="B312" t="s">
        <v>725</v>
      </c>
      <c r="C312" t="s">
        <v>747</v>
      </c>
      <c r="E312" s="7">
        <v>60</v>
      </c>
      <c r="F312">
        <f t="shared" si="68"/>
        <v>84</v>
      </c>
      <c r="G312">
        <f t="shared" si="69"/>
        <v>92.4</v>
      </c>
      <c r="H312" s="7">
        <v>399</v>
      </c>
      <c r="I312">
        <f t="shared" si="70"/>
        <v>558.59999999999991</v>
      </c>
      <c r="J312">
        <f t="shared" si="71"/>
        <v>614.45999999999992</v>
      </c>
      <c r="K312" s="7" t="s">
        <v>783</v>
      </c>
    </row>
    <row r="313" spans="1:11">
      <c r="B313" t="s">
        <v>725</v>
      </c>
      <c r="C313" t="s">
        <v>729</v>
      </c>
      <c r="D313" s="3" t="s">
        <v>755</v>
      </c>
      <c r="E313" s="7">
        <v>300</v>
      </c>
      <c r="F313">
        <f t="shared" si="68"/>
        <v>420</v>
      </c>
      <c r="G313">
        <f t="shared" si="69"/>
        <v>462.00000000000006</v>
      </c>
      <c r="H313" s="7">
        <v>4000</v>
      </c>
      <c r="I313">
        <f t="shared" si="70"/>
        <v>5600</v>
      </c>
      <c r="J313">
        <f t="shared" si="71"/>
        <v>6160.0000000000009</v>
      </c>
      <c r="K313" s="7" t="s">
        <v>756</v>
      </c>
    </row>
    <row r="314" spans="1:11">
      <c r="B314" t="s">
        <v>725</v>
      </c>
      <c r="C314" t="s">
        <v>742</v>
      </c>
      <c r="D314" s="3" t="s">
        <v>776</v>
      </c>
      <c r="E314" s="7">
        <v>350</v>
      </c>
      <c r="F314">
        <f t="shared" si="68"/>
        <v>489.99999999999994</v>
      </c>
      <c r="G314">
        <f t="shared" si="69"/>
        <v>539</v>
      </c>
      <c r="H314" s="7">
        <v>5000</v>
      </c>
      <c r="I314">
        <f t="shared" si="70"/>
        <v>7000</v>
      </c>
      <c r="J314">
        <f t="shared" si="71"/>
        <v>7700.0000000000009</v>
      </c>
      <c r="K314" s="7" t="s">
        <v>777</v>
      </c>
    </row>
    <row r="315" spans="1:11">
      <c r="B315" t="s">
        <v>725</v>
      </c>
      <c r="C315" t="s">
        <v>749</v>
      </c>
      <c r="E315" s="7">
        <v>2000</v>
      </c>
      <c r="F315">
        <f t="shared" si="68"/>
        <v>2800</v>
      </c>
      <c r="G315">
        <f t="shared" si="69"/>
        <v>3080.0000000000005</v>
      </c>
      <c r="H315" s="7">
        <v>4999</v>
      </c>
      <c r="I315">
        <f t="shared" si="70"/>
        <v>6998.5999999999995</v>
      </c>
      <c r="J315">
        <f t="shared" si="71"/>
        <v>7698.46</v>
      </c>
      <c r="K315" s="7" t="s">
        <v>785</v>
      </c>
    </row>
    <row r="316" spans="1:11">
      <c r="B316" t="s">
        <v>725</v>
      </c>
      <c r="C316" t="s">
        <v>736</v>
      </c>
      <c r="D316" s="3" t="s">
        <v>766</v>
      </c>
      <c r="E316" s="7">
        <v>90</v>
      </c>
      <c r="F316">
        <f t="shared" si="68"/>
        <v>125.99999999999999</v>
      </c>
      <c r="G316">
        <f t="shared" si="69"/>
        <v>138.6</v>
      </c>
      <c r="H316" s="7">
        <v>999</v>
      </c>
      <c r="I316">
        <f t="shared" si="70"/>
        <v>1398.6</v>
      </c>
      <c r="J316">
        <f t="shared" si="71"/>
        <v>1538.46</v>
      </c>
      <c r="K316" s="7" t="s">
        <v>767</v>
      </c>
    </row>
    <row r="317" spans="1:11">
      <c r="B317" t="s">
        <v>725</v>
      </c>
      <c r="C317" t="s">
        <v>730</v>
      </c>
      <c r="E317" s="7">
        <v>45</v>
      </c>
      <c r="F317">
        <f t="shared" si="68"/>
        <v>62.999999999999993</v>
      </c>
      <c r="G317">
        <f t="shared" si="69"/>
        <v>69.3</v>
      </c>
      <c r="H317" s="7">
        <v>569</v>
      </c>
      <c r="I317">
        <f t="shared" si="70"/>
        <v>796.59999999999991</v>
      </c>
      <c r="J317">
        <f t="shared" si="71"/>
        <v>876.26</v>
      </c>
      <c r="K317" s="7" t="s">
        <v>757</v>
      </c>
    </row>
    <row r="318" spans="1:11">
      <c r="B318" t="s">
        <v>725</v>
      </c>
      <c r="C318" t="s">
        <v>746</v>
      </c>
      <c r="E318" s="7">
        <v>20</v>
      </c>
      <c r="F318">
        <f t="shared" si="68"/>
        <v>28</v>
      </c>
      <c r="G318">
        <f t="shared" si="69"/>
        <v>30.800000000000004</v>
      </c>
      <c r="H318" s="7">
        <v>299</v>
      </c>
      <c r="I318">
        <f t="shared" si="70"/>
        <v>418.59999999999997</v>
      </c>
      <c r="J318">
        <f t="shared" si="71"/>
        <v>460.46</v>
      </c>
      <c r="K318" s="7" t="s">
        <v>782</v>
      </c>
    </row>
    <row r="319" spans="1:11">
      <c r="B319" t="s">
        <v>725</v>
      </c>
      <c r="C319" t="s">
        <v>745</v>
      </c>
      <c r="E319" s="7">
        <v>135</v>
      </c>
      <c r="F319">
        <f t="shared" si="68"/>
        <v>189</v>
      </c>
      <c r="G319">
        <f t="shared" si="69"/>
        <v>207.9</v>
      </c>
      <c r="H319" s="7">
        <v>1999</v>
      </c>
      <c r="I319">
        <f t="shared" si="70"/>
        <v>2798.6</v>
      </c>
      <c r="J319">
        <f t="shared" si="71"/>
        <v>3078.46</v>
      </c>
      <c r="K319" s="7" t="s">
        <v>781</v>
      </c>
    </row>
    <row r="320" spans="1:11">
      <c r="B320" t="s">
        <v>725</v>
      </c>
      <c r="C320" t="s">
        <v>744</v>
      </c>
      <c r="E320" s="7">
        <v>47</v>
      </c>
      <c r="F320">
        <f t="shared" si="68"/>
        <v>65.8</v>
      </c>
      <c r="G320">
        <f t="shared" si="69"/>
        <v>72.38000000000001</v>
      </c>
      <c r="H320" s="7">
        <v>559</v>
      </c>
      <c r="I320">
        <f t="shared" si="70"/>
        <v>782.59999999999991</v>
      </c>
      <c r="J320">
        <f t="shared" si="71"/>
        <v>860.86</v>
      </c>
      <c r="K320" s="7" t="s">
        <v>780</v>
      </c>
    </row>
    <row r="321" spans="2:11">
      <c r="B321" t="s">
        <v>725</v>
      </c>
      <c r="C321" t="s">
        <v>739</v>
      </c>
      <c r="D321" s="3" t="s">
        <v>770</v>
      </c>
      <c r="E321" s="7">
        <v>100</v>
      </c>
      <c r="F321">
        <f t="shared" si="68"/>
        <v>140</v>
      </c>
      <c r="G321">
        <f t="shared" si="69"/>
        <v>154</v>
      </c>
      <c r="H321" s="7">
        <v>499</v>
      </c>
      <c r="I321">
        <f t="shared" si="70"/>
        <v>698.59999999999991</v>
      </c>
      <c r="J321">
        <f t="shared" si="71"/>
        <v>768.45999999999992</v>
      </c>
      <c r="K321" s="7" t="s">
        <v>771</v>
      </c>
    </row>
    <row r="322" spans="2:11">
      <c r="B322" t="s">
        <v>725</v>
      </c>
      <c r="C322" t="s">
        <v>733</v>
      </c>
      <c r="D322" s="3" t="s">
        <v>761</v>
      </c>
      <c r="E322" s="7">
        <v>100</v>
      </c>
      <c r="F322">
        <f t="shared" si="68"/>
        <v>140</v>
      </c>
      <c r="G322">
        <f t="shared" si="69"/>
        <v>154</v>
      </c>
      <c r="H322" s="7">
        <v>430</v>
      </c>
      <c r="I322">
        <f t="shared" si="70"/>
        <v>602</v>
      </c>
      <c r="J322">
        <f t="shared" si="71"/>
        <v>662.2</v>
      </c>
      <c r="K322" s="7" t="s">
        <v>760</v>
      </c>
    </row>
    <row r="323" spans="2:11">
      <c r="B323" t="s">
        <v>725</v>
      </c>
      <c r="C323" t="s">
        <v>741</v>
      </c>
      <c r="D323" s="3" t="s">
        <v>774</v>
      </c>
      <c r="E323" s="7">
        <v>100</v>
      </c>
      <c r="F323">
        <f t="shared" si="68"/>
        <v>140</v>
      </c>
      <c r="G323">
        <f t="shared" si="69"/>
        <v>154</v>
      </c>
      <c r="H323" s="7">
        <v>448</v>
      </c>
      <c r="I323">
        <f t="shared" si="70"/>
        <v>627.19999999999993</v>
      </c>
      <c r="J323">
        <f t="shared" si="71"/>
        <v>689.92</v>
      </c>
      <c r="K323" s="7" t="s">
        <v>775</v>
      </c>
    </row>
    <row r="324" spans="2:11">
      <c r="B324" t="s">
        <v>725</v>
      </c>
      <c r="C324" t="s">
        <v>737</v>
      </c>
      <c r="D324" s="3" t="s">
        <v>768</v>
      </c>
      <c r="E324" s="7">
        <v>50</v>
      </c>
      <c r="F324">
        <f t="shared" si="68"/>
        <v>70</v>
      </c>
      <c r="G324">
        <f t="shared" si="69"/>
        <v>77</v>
      </c>
      <c r="H324" s="7">
        <v>999</v>
      </c>
      <c r="I324">
        <f t="shared" si="70"/>
        <v>1398.6</v>
      </c>
      <c r="J324">
        <f t="shared" si="71"/>
        <v>1538.46</v>
      </c>
      <c r="K324" s="7" t="s">
        <v>769</v>
      </c>
    </row>
    <row r="325" spans="2:11">
      <c r="B325" t="s">
        <v>725</v>
      </c>
      <c r="C325" t="s">
        <v>726</v>
      </c>
      <c r="D325" s="3" t="s">
        <v>750</v>
      </c>
      <c r="E325" s="7">
        <v>115</v>
      </c>
      <c r="F325">
        <f t="shared" si="68"/>
        <v>161</v>
      </c>
      <c r="G325">
        <f t="shared" si="69"/>
        <v>177.10000000000002</v>
      </c>
      <c r="H325" s="7">
        <v>1259</v>
      </c>
      <c r="I325">
        <f t="shared" si="70"/>
        <v>1762.6</v>
      </c>
      <c r="J325">
        <f t="shared" si="71"/>
        <v>1938.8600000000001</v>
      </c>
      <c r="K325" s="7" t="s">
        <v>751</v>
      </c>
    </row>
    <row r="326" spans="2:11">
      <c r="B326" t="s">
        <v>725</v>
      </c>
      <c r="C326" t="s">
        <v>738</v>
      </c>
      <c r="D326" s="3" t="s">
        <v>768</v>
      </c>
      <c r="E326" s="7">
        <v>50</v>
      </c>
      <c r="F326">
        <f t="shared" si="68"/>
        <v>70</v>
      </c>
      <c r="G326">
        <f t="shared" si="69"/>
        <v>77</v>
      </c>
      <c r="H326" s="7">
        <v>999</v>
      </c>
      <c r="I326">
        <f t="shared" si="70"/>
        <v>1398.6</v>
      </c>
      <c r="J326">
        <f t="shared" si="71"/>
        <v>1538.46</v>
      </c>
      <c r="K326" s="7" t="s">
        <v>769</v>
      </c>
    </row>
    <row r="327" spans="2:11">
      <c r="B327" t="s">
        <v>725</v>
      </c>
      <c r="C327" t="s">
        <v>731</v>
      </c>
      <c r="D327" s="3" t="s">
        <v>758</v>
      </c>
      <c r="E327" s="7">
        <v>125</v>
      </c>
      <c r="F327">
        <f t="shared" si="68"/>
        <v>175</v>
      </c>
      <c r="G327">
        <f t="shared" si="69"/>
        <v>192.50000000000003</v>
      </c>
      <c r="H327" s="7">
        <v>1199</v>
      </c>
      <c r="I327">
        <f t="shared" si="70"/>
        <v>1678.6</v>
      </c>
      <c r="J327">
        <f t="shared" si="71"/>
        <v>1846.46</v>
      </c>
      <c r="K327" s="7" t="s">
        <v>759</v>
      </c>
    </row>
    <row r="328" spans="2:11">
      <c r="B328" t="s">
        <v>725</v>
      </c>
      <c r="C328" t="s">
        <v>740</v>
      </c>
      <c r="D328" s="3" t="s">
        <v>772</v>
      </c>
      <c r="E328" s="7">
        <v>150</v>
      </c>
      <c r="F328">
        <f t="shared" si="68"/>
        <v>210</v>
      </c>
      <c r="G328">
        <f t="shared" si="69"/>
        <v>231.00000000000003</v>
      </c>
      <c r="H328" s="7">
        <v>1499</v>
      </c>
      <c r="I328">
        <f t="shared" si="70"/>
        <v>2098.6</v>
      </c>
      <c r="J328">
        <f t="shared" si="71"/>
        <v>2308.46</v>
      </c>
      <c r="K328" s="7" t="s">
        <v>773</v>
      </c>
    </row>
    <row r="329" spans="2:11">
      <c r="B329" t="s">
        <v>725</v>
      </c>
      <c r="C329" t="s">
        <v>743</v>
      </c>
      <c r="D329" s="3" t="s">
        <v>778</v>
      </c>
      <c r="E329" s="7">
        <v>372</v>
      </c>
      <c r="F329">
        <f t="shared" si="68"/>
        <v>520.79999999999995</v>
      </c>
      <c r="G329">
        <f t="shared" si="69"/>
        <v>572.88</v>
      </c>
      <c r="H329" s="7">
        <v>7000</v>
      </c>
      <c r="I329">
        <f t="shared" si="70"/>
        <v>9800</v>
      </c>
      <c r="J329">
        <f t="shared" si="71"/>
        <v>10780</v>
      </c>
      <c r="K329" s="7" t="s">
        <v>779</v>
      </c>
    </row>
    <row r="330" spans="2:11">
      <c r="B330" t="s">
        <v>725</v>
      </c>
      <c r="C330" t="s">
        <v>734</v>
      </c>
      <c r="D330" s="3" t="s">
        <v>762</v>
      </c>
      <c r="E330" s="7">
        <v>109</v>
      </c>
      <c r="F330">
        <f t="shared" si="68"/>
        <v>152.6</v>
      </c>
      <c r="G330">
        <f t="shared" si="69"/>
        <v>167.86</v>
      </c>
      <c r="H330" s="7">
        <v>1600</v>
      </c>
      <c r="I330">
        <f t="shared" si="70"/>
        <v>2240</v>
      </c>
      <c r="J330">
        <f t="shared" si="71"/>
        <v>2464</v>
      </c>
      <c r="K330" s="7" t="s">
        <v>763</v>
      </c>
    </row>
    <row r="331" spans="2:11">
      <c r="B331" t="s">
        <v>725</v>
      </c>
      <c r="C331" t="s">
        <v>727</v>
      </c>
      <c r="D331" s="3" t="s">
        <v>752</v>
      </c>
      <c r="E331" s="7">
        <v>90</v>
      </c>
      <c r="F331">
        <f t="shared" si="68"/>
        <v>125.99999999999999</v>
      </c>
      <c r="G331">
        <f t="shared" si="69"/>
        <v>138.6</v>
      </c>
      <c r="H331" s="7">
        <v>1399</v>
      </c>
      <c r="I331">
        <f t="shared" si="70"/>
        <v>1958.6</v>
      </c>
      <c r="J331">
        <f t="shared" si="71"/>
        <v>2154.46</v>
      </c>
      <c r="K331" s="7" t="s">
        <v>753</v>
      </c>
    </row>
    <row r="332" spans="2:11">
      <c r="B332" t="s">
        <v>725</v>
      </c>
      <c r="C332" t="s">
        <v>748</v>
      </c>
      <c r="E332" s="7">
        <v>45</v>
      </c>
      <c r="F332">
        <f t="shared" si="68"/>
        <v>62.999999999999993</v>
      </c>
      <c r="G332">
        <f t="shared" si="69"/>
        <v>69.3</v>
      </c>
      <c r="H332" s="7">
        <v>399</v>
      </c>
      <c r="I332">
        <f t="shared" si="70"/>
        <v>558.59999999999991</v>
      </c>
      <c r="J332">
        <f t="shared" si="71"/>
        <v>614.45999999999992</v>
      </c>
      <c r="K332" s="7" t="s">
        <v>784</v>
      </c>
    </row>
    <row r="333" spans="2:11">
      <c r="B333" t="s">
        <v>725</v>
      </c>
      <c r="C333" t="s">
        <v>728</v>
      </c>
      <c r="D333" s="3"/>
      <c r="F333">
        <f t="shared" si="68"/>
        <v>0</v>
      </c>
      <c r="G333">
        <f t="shared" si="69"/>
        <v>0</v>
      </c>
      <c r="H333" s="7">
        <v>2000</v>
      </c>
      <c r="I333">
        <f t="shared" si="70"/>
        <v>2800</v>
      </c>
      <c r="J333">
        <f t="shared" si="71"/>
        <v>3080.0000000000005</v>
      </c>
      <c r="K333" s="7" t="s">
        <v>754</v>
      </c>
    </row>
    <row r="334" spans="2:11">
      <c r="B334" t="s">
        <v>725</v>
      </c>
      <c r="C334" t="s">
        <v>732</v>
      </c>
      <c r="E334" s="7">
        <v>15</v>
      </c>
      <c r="F334">
        <f t="shared" si="68"/>
        <v>21</v>
      </c>
      <c r="G334">
        <f t="shared" si="69"/>
        <v>23.1</v>
      </c>
      <c r="H334" s="7">
        <v>190</v>
      </c>
      <c r="I334">
        <f t="shared" si="70"/>
        <v>266</v>
      </c>
      <c r="J334">
        <f t="shared" si="71"/>
        <v>292.60000000000002</v>
      </c>
      <c r="K334" s="7" t="s">
        <v>760</v>
      </c>
    </row>
    <row r="336" spans="2:11">
      <c r="B336" t="s">
        <v>786</v>
      </c>
      <c r="C336" t="s">
        <v>787</v>
      </c>
      <c r="D336" s="3" t="s">
        <v>788</v>
      </c>
      <c r="E336" s="7">
        <v>70</v>
      </c>
      <c r="F336">
        <f t="shared" ref="F336:F372" si="72">E336*1.4</f>
        <v>98</v>
      </c>
      <c r="G336">
        <f t="shared" ref="G336:G372" si="73">F336*1.1</f>
        <v>107.80000000000001</v>
      </c>
      <c r="H336" s="7">
        <v>1155</v>
      </c>
      <c r="I336">
        <f t="shared" ref="I336:I372" si="74">H336*1.4</f>
        <v>1617</v>
      </c>
      <c r="J336">
        <f t="shared" ref="J336:J372" si="75">I336*1.1</f>
        <v>1778.7</v>
      </c>
      <c r="K336" s="7" t="s">
        <v>789</v>
      </c>
    </row>
    <row r="338" spans="1:11">
      <c r="B338" t="s">
        <v>797</v>
      </c>
      <c r="C338" t="s">
        <v>790</v>
      </c>
      <c r="D338" s="3" t="s">
        <v>791</v>
      </c>
      <c r="E338" s="7">
        <v>95</v>
      </c>
      <c r="F338">
        <f>E338*1.4</f>
        <v>133</v>
      </c>
      <c r="G338">
        <f>F338*1.1</f>
        <v>146.30000000000001</v>
      </c>
      <c r="H338" s="7">
        <v>5684</v>
      </c>
      <c r="I338">
        <f>H338*1.4</f>
        <v>7957.5999999999995</v>
      </c>
      <c r="J338">
        <f>I338*1.1</f>
        <v>8753.36</v>
      </c>
      <c r="K338" s="7" t="s">
        <v>792</v>
      </c>
    </row>
    <row r="339" spans="1:11">
      <c r="B339" t="s">
        <v>797</v>
      </c>
      <c r="C339" t="s">
        <v>794</v>
      </c>
      <c r="D339" s="3" t="s">
        <v>793</v>
      </c>
      <c r="E339" s="7">
        <v>150</v>
      </c>
      <c r="F339">
        <f>E339*1.4</f>
        <v>210</v>
      </c>
      <c r="G339">
        <f>F339*1.1</f>
        <v>231.00000000000003</v>
      </c>
      <c r="H339" s="7">
        <v>724.95</v>
      </c>
      <c r="I339">
        <f>H339*1.4</f>
        <v>1014.93</v>
      </c>
      <c r="J339">
        <f>I339*1.1</f>
        <v>1116.423</v>
      </c>
      <c r="K339" s="7" t="s">
        <v>795</v>
      </c>
    </row>
    <row r="341" spans="1:11" ht="23.25">
      <c r="A341" s="1" t="s">
        <v>796</v>
      </c>
    </row>
    <row r="342" spans="1:11">
      <c r="B342" t="s">
        <v>798</v>
      </c>
      <c r="C342" t="s">
        <v>799</v>
      </c>
      <c r="D342" s="3" t="s">
        <v>800</v>
      </c>
      <c r="E342" s="7">
        <v>97</v>
      </c>
      <c r="F342">
        <f t="shared" si="72"/>
        <v>135.79999999999998</v>
      </c>
      <c r="G342">
        <f t="shared" si="73"/>
        <v>149.38</v>
      </c>
      <c r="H342" s="7">
        <v>1299</v>
      </c>
      <c r="I342">
        <f t="shared" si="74"/>
        <v>1818.6</v>
      </c>
      <c r="J342">
        <f t="shared" si="75"/>
        <v>2000.46</v>
      </c>
      <c r="K342" s="7" t="s">
        <v>801</v>
      </c>
    </row>
    <row r="344" spans="1:11" ht="15.95" customHeight="1">
      <c r="B344" t="s">
        <v>802</v>
      </c>
      <c r="C344" t="s">
        <v>813</v>
      </c>
      <c r="D344" s="3" t="s">
        <v>803</v>
      </c>
      <c r="E344" s="7">
        <v>49</v>
      </c>
      <c r="F344">
        <f t="shared" ref="F344:F355" si="76">E344*1.4</f>
        <v>68.599999999999994</v>
      </c>
      <c r="G344">
        <f t="shared" ref="G344:G355" si="77">F344*1.1</f>
        <v>75.459999999999994</v>
      </c>
      <c r="H344" s="7">
        <v>400</v>
      </c>
      <c r="I344">
        <f t="shared" ref="I344:I355" si="78">H344*1.4</f>
        <v>560</v>
      </c>
      <c r="J344">
        <f t="shared" ref="J344:J355" si="79">I344*1.1</f>
        <v>616</v>
      </c>
      <c r="K344" s="7" t="s">
        <v>827</v>
      </c>
    </row>
    <row r="345" spans="1:11" ht="15.95" customHeight="1">
      <c r="B345" t="s">
        <v>802</v>
      </c>
      <c r="C345" t="s">
        <v>808</v>
      </c>
      <c r="D345" s="4" t="s">
        <v>803</v>
      </c>
      <c r="E345" s="7">
        <v>75</v>
      </c>
      <c r="F345">
        <f t="shared" si="76"/>
        <v>105</v>
      </c>
      <c r="G345">
        <f t="shared" si="77"/>
        <v>115.50000000000001</v>
      </c>
      <c r="H345" s="7">
        <v>599</v>
      </c>
      <c r="I345">
        <f t="shared" si="78"/>
        <v>838.59999999999991</v>
      </c>
      <c r="J345">
        <f t="shared" si="79"/>
        <v>922.45999999999992</v>
      </c>
      <c r="K345" s="7" t="s">
        <v>804</v>
      </c>
    </row>
    <row r="346" spans="1:11">
      <c r="B346" t="s">
        <v>802</v>
      </c>
      <c r="C346" t="s">
        <v>814</v>
      </c>
      <c r="D346" s="3" t="s">
        <v>828</v>
      </c>
      <c r="E346" s="7">
        <v>75</v>
      </c>
      <c r="F346">
        <f t="shared" si="76"/>
        <v>105</v>
      </c>
      <c r="G346">
        <f t="shared" si="77"/>
        <v>115.50000000000001</v>
      </c>
      <c r="H346" s="7">
        <v>699</v>
      </c>
      <c r="I346">
        <f t="shared" si="78"/>
        <v>978.59999999999991</v>
      </c>
      <c r="J346">
        <f t="shared" si="79"/>
        <v>1076.46</v>
      </c>
      <c r="K346" s="7" t="s">
        <v>829</v>
      </c>
    </row>
    <row r="347" spans="1:11">
      <c r="B347" t="s">
        <v>802</v>
      </c>
      <c r="C347" t="s">
        <v>809</v>
      </c>
      <c r="D347" s="3" t="s">
        <v>805</v>
      </c>
      <c r="F347">
        <f t="shared" si="76"/>
        <v>0</v>
      </c>
      <c r="G347">
        <f t="shared" si="77"/>
        <v>0</v>
      </c>
      <c r="H347" s="7">
        <v>599</v>
      </c>
      <c r="I347">
        <f t="shared" si="78"/>
        <v>838.59999999999991</v>
      </c>
      <c r="J347">
        <f t="shared" si="79"/>
        <v>922.45999999999992</v>
      </c>
      <c r="K347" s="7" t="s">
        <v>806</v>
      </c>
    </row>
    <row r="348" spans="1:11">
      <c r="B348" t="s">
        <v>802</v>
      </c>
      <c r="C348" t="s">
        <v>810</v>
      </c>
      <c r="D348" s="3" t="s">
        <v>819</v>
      </c>
      <c r="F348">
        <f t="shared" si="76"/>
        <v>0</v>
      </c>
      <c r="G348">
        <f t="shared" si="77"/>
        <v>0</v>
      </c>
      <c r="H348" s="7">
        <v>549</v>
      </c>
      <c r="I348">
        <f t="shared" si="78"/>
        <v>768.59999999999991</v>
      </c>
      <c r="J348">
        <f t="shared" si="79"/>
        <v>845.45999999999992</v>
      </c>
      <c r="K348" s="7" t="s">
        <v>820</v>
      </c>
    </row>
    <row r="349" spans="1:11">
      <c r="B349" t="s">
        <v>802</v>
      </c>
      <c r="C349" t="s">
        <v>817</v>
      </c>
      <c r="D349" s="3" t="s">
        <v>834</v>
      </c>
      <c r="E349" s="7">
        <v>45</v>
      </c>
      <c r="F349">
        <f t="shared" si="76"/>
        <v>62.999999999999993</v>
      </c>
      <c r="G349">
        <f t="shared" si="77"/>
        <v>69.3</v>
      </c>
      <c r="H349" s="7">
        <v>699</v>
      </c>
      <c r="I349">
        <f t="shared" si="78"/>
        <v>978.59999999999991</v>
      </c>
      <c r="J349">
        <f t="shared" si="79"/>
        <v>1076.46</v>
      </c>
      <c r="K349" s="7" t="s">
        <v>835</v>
      </c>
    </row>
    <row r="350" spans="1:11">
      <c r="B350" t="s">
        <v>802</v>
      </c>
      <c r="C350" t="s">
        <v>816</v>
      </c>
      <c r="D350" s="3" t="s">
        <v>832</v>
      </c>
      <c r="E350" s="7">
        <v>45</v>
      </c>
      <c r="F350">
        <f t="shared" si="76"/>
        <v>62.999999999999993</v>
      </c>
      <c r="G350">
        <f t="shared" si="77"/>
        <v>69.3</v>
      </c>
      <c r="H350" s="7">
        <v>599</v>
      </c>
      <c r="I350">
        <f t="shared" si="78"/>
        <v>838.59999999999991</v>
      </c>
      <c r="J350">
        <f t="shared" si="79"/>
        <v>922.45999999999992</v>
      </c>
      <c r="K350" s="7" t="s">
        <v>833</v>
      </c>
    </row>
    <row r="351" spans="1:11">
      <c r="B351" t="s">
        <v>802</v>
      </c>
      <c r="C351" t="s">
        <v>815</v>
      </c>
      <c r="D351" s="3" t="s">
        <v>830</v>
      </c>
      <c r="E351" s="7">
        <v>55</v>
      </c>
      <c r="F351">
        <f t="shared" si="76"/>
        <v>77</v>
      </c>
      <c r="G351">
        <f t="shared" si="77"/>
        <v>84.7</v>
      </c>
      <c r="H351" s="7">
        <v>799</v>
      </c>
      <c r="I351">
        <f t="shared" si="78"/>
        <v>1118.5999999999999</v>
      </c>
      <c r="J351">
        <f t="shared" si="79"/>
        <v>1230.46</v>
      </c>
      <c r="K351" s="7" t="s">
        <v>831</v>
      </c>
    </row>
    <row r="352" spans="1:11">
      <c r="B352" t="s">
        <v>802</v>
      </c>
      <c r="C352" t="s">
        <v>812</v>
      </c>
      <c r="D352" s="3" t="s">
        <v>825</v>
      </c>
      <c r="E352" s="7">
        <v>75</v>
      </c>
      <c r="F352">
        <f t="shared" si="76"/>
        <v>105</v>
      </c>
      <c r="G352">
        <f t="shared" si="77"/>
        <v>115.50000000000001</v>
      </c>
      <c r="H352" s="7">
        <v>399</v>
      </c>
      <c r="I352">
        <f t="shared" si="78"/>
        <v>558.59999999999991</v>
      </c>
      <c r="J352">
        <f t="shared" si="79"/>
        <v>614.45999999999992</v>
      </c>
      <c r="K352" s="7" t="s">
        <v>826</v>
      </c>
    </row>
    <row r="353" spans="2:11">
      <c r="B353" t="s">
        <v>802</v>
      </c>
      <c r="C353" t="s">
        <v>811</v>
      </c>
      <c r="D353" s="3" t="s">
        <v>821</v>
      </c>
      <c r="F353">
        <f t="shared" si="76"/>
        <v>0</v>
      </c>
      <c r="G353">
        <f t="shared" si="77"/>
        <v>0</v>
      </c>
      <c r="H353" s="7">
        <v>899</v>
      </c>
      <c r="I353">
        <f t="shared" si="78"/>
        <v>1258.5999999999999</v>
      </c>
      <c r="J353">
        <f t="shared" si="79"/>
        <v>1384.46</v>
      </c>
      <c r="K353" s="7" t="s">
        <v>822</v>
      </c>
    </row>
    <row r="354" spans="2:11">
      <c r="B354" t="s">
        <v>802</v>
      </c>
      <c r="C354" t="s">
        <v>807</v>
      </c>
      <c r="D354" s="3" t="s">
        <v>823</v>
      </c>
      <c r="F354">
        <f t="shared" si="76"/>
        <v>0</v>
      </c>
      <c r="G354">
        <f t="shared" si="77"/>
        <v>0</v>
      </c>
      <c r="H354" s="7">
        <v>849</v>
      </c>
      <c r="I354">
        <f t="shared" si="78"/>
        <v>1188.5999999999999</v>
      </c>
      <c r="J354">
        <f t="shared" si="79"/>
        <v>1307.46</v>
      </c>
      <c r="K354" s="7" t="s">
        <v>824</v>
      </c>
    </row>
    <row r="355" spans="2:11">
      <c r="B355" t="s">
        <v>802</v>
      </c>
      <c r="C355" t="s">
        <v>818</v>
      </c>
      <c r="D355" s="3" t="s">
        <v>836</v>
      </c>
      <c r="E355" s="7">
        <v>50</v>
      </c>
      <c r="F355">
        <f t="shared" si="76"/>
        <v>70</v>
      </c>
      <c r="G355">
        <f t="shared" si="77"/>
        <v>77</v>
      </c>
      <c r="H355" s="7">
        <v>650</v>
      </c>
      <c r="I355">
        <f t="shared" si="78"/>
        <v>909.99999999999989</v>
      </c>
      <c r="J355">
        <f t="shared" si="79"/>
        <v>1001</v>
      </c>
      <c r="K355" s="7" t="s">
        <v>837</v>
      </c>
    </row>
    <row r="357" spans="2:11">
      <c r="B357" t="s">
        <v>838</v>
      </c>
      <c r="C357" s="14">
        <v>2.5</v>
      </c>
      <c r="D357" s="3" t="s">
        <v>856</v>
      </c>
      <c r="E357" s="7">
        <v>80</v>
      </c>
      <c r="F357">
        <f t="shared" ref="F357:F367" si="80">E357*1.4</f>
        <v>112</v>
      </c>
      <c r="G357">
        <f t="shared" ref="G357:G367" si="81">F357*1.1</f>
        <v>123.20000000000002</v>
      </c>
      <c r="H357" s="7">
        <v>3525</v>
      </c>
      <c r="I357">
        <f t="shared" ref="I357:I367" si="82">H357*1.4</f>
        <v>4935</v>
      </c>
      <c r="J357">
        <f t="shared" ref="J357:J367" si="83">I357*1.1</f>
        <v>5428.5</v>
      </c>
      <c r="K357" s="7" t="s">
        <v>857</v>
      </c>
    </row>
    <row r="358" spans="2:11">
      <c r="B358" t="s">
        <v>838</v>
      </c>
      <c r="C358" t="s">
        <v>847</v>
      </c>
      <c r="D358" s="3" t="s">
        <v>865</v>
      </c>
      <c r="E358" s="7">
        <v>75</v>
      </c>
      <c r="F358">
        <f t="shared" si="80"/>
        <v>105</v>
      </c>
      <c r="G358">
        <f t="shared" si="81"/>
        <v>115.50000000000001</v>
      </c>
      <c r="H358" s="7">
        <v>3000</v>
      </c>
      <c r="I358">
        <f t="shared" si="82"/>
        <v>4200</v>
      </c>
      <c r="J358">
        <f t="shared" si="83"/>
        <v>4620</v>
      </c>
      <c r="K358" s="7" t="s">
        <v>866</v>
      </c>
    </row>
    <row r="359" spans="2:11">
      <c r="B359" t="s">
        <v>838</v>
      </c>
      <c r="C359" t="s">
        <v>843</v>
      </c>
      <c r="D359" s="3" t="s">
        <v>858</v>
      </c>
      <c r="E359" s="7">
        <v>90</v>
      </c>
      <c r="F359">
        <f t="shared" si="80"/>
        <v>125.99999999999999</v>
      </c>
      <c r="G359">
        <f t="shared" si="81"/>
        <v>138.6</v>
      </c>
      <c r="H359" s="7">
        <v>3500</v>
      </c>
      <c r="I359">
        <f t="shared" si="82"/>
        <v>4900</v>
      </c>
      <c r="J359">
        <f t="shared" si="83"/>
        <v>5390</v>
      </c>
      <c r="K359" s="7" t="s">
        <v>859</v>
      </c>
    </row>
    <row r="360" spans="2:11">
      <c r="B360" t="s">
        <v>838</v>
      </c>
      <c r="C360" t="s">
        <v>844</v>
      </c>
      <c r="D360" s="3" t="s">
        <v>858</v>
      </c>
      <c r="E360" s="7">
        <v>90</v>
      </c>
      <c r="F360">
        <f t="shared" si="80"/>
        <v>125.99999999999999</v>
      </c>
      <c r="G360">
        <f t="shared" si="81"/>
        <v>138.6</v>
      </c>
      <c r="H360" s="7">
        <v>3800</v>
      </c>
      <c r="I360">
        <f t="shared" si="82"/>
        <v>5320</v>
      </c>
      <c r="J360">
        <f t="shared" si="83"/>
        <v>5852.0000000000009</v>
      </c>
      <c r="K360" s="7" t="s">
        <v>860</v>
      </c>
    </row>
    <row r="361" spans="2:11">
      <c r="B361" t="s">
        <v>838</v>
      </c>
      <c r="C361" t="s">
        <v>845</v>
      </c>
      <c r="D361" s="3" t="s">
        <v>861</v>
      </c>
      <c r="E361" s="7">
        <v>94</v>
      </c>
      <c r="F361">
        <f t="shared" si="80"/>
        <v>131.6</v>
      </c>
      <c r="G361">
        <f t="shared" si="81"/>
        <v>144.76000000000002</v>
      </c>
      <c r="H361" s="7">
        <v>3800</v>
      </c>
      <c r="I361">
        <f t="shared" si="82"/>
        <v>5320</v>
      </c>
      <c r="J361">
        <f t="shared" si="83"/>
        <v>5852.0000000000009</v>
      </c>
      <c r="K361" s="7" t="s">
        <v>862</v>
      </c>
    </row>
    <row r="362" spans="2:11">
      <c r="B362" t="s">
        <v>838</v>
      </c>
      <c r="C362" t="s">
        <v>846</v>
      </c>
      <c r="D362" s="3" t="s">
        <v>863</v>
      </c>
      <c r="E362" s="7">
        <v>75</v>
      </c>
      <c r="F362">
        <f t="shared" si="80"/>
        <v>105</v>
      </c>
      <c r="G362">
        <f t="shared" si="81"/>
        <v>115.50000000000001</v>
      </c>
      <c r="H362" s="7">
        <v>3800</v>
      </c>
      <c r="I362">
        <f t="shared" si="82"/>
        <v>5320</v>
      </c>
      <c r="J362">
        <f t="shared" si="83"/>
        <v>5852.0000000000009</v>
      </c>
      <c r="K362" s="7" t="s">
        <v>864</v>
      </c>
    </row>
    <row r="363" spans="2:11">
      <c r="B363" t="s">
        <v>838</v>
      </c>
      <c r="C363" t="s">
        <v>848</v>
      </c>
      <c r="D363" s="3" t="s">
        <v>867</v>
      </c>
      <c r="E363" s="7">
        <v>105</v>
      </c>
      <c r="F363">
        <f t="shared" si="80"/>
        <v>147</v>
      </c>
      <c r="G363">
        <f t="shared" si="81"/>
        <v>161.70000000000002</v>
      </c>
      <c r="H363" s="7">
        <v>3750</v>
      </c>
      <c r="I363">
        <f t="shared" si="82"/>
        <v>5250</v>
      </c>
      <c r="J363">
        <f t="shared" si="83"/>
        <v>5775.0000000000009</v>
      </c>
      <c r="K363" s="7" t="s">
        <v>868</v>
      </c>
    </row>
    <row r="364" spans="2:11">
      <c r="B364" t="s">
        <v>838</v>
      </c>
      <c r="C364" t="s">
        <v>842</v>
      </c>
      <c r="E364" s="7">
        <v>150</v>
      </c>
      <c r="F364">
        <f t="shared" si="80"/>
        <v>210</v>
      </c>
      <c r="G364">
        <f t="shared" si="81"/>
        <v>231.00000000000003</v>
      </c>
      <c r="H364" s="7">
        <v>4400</v>
      </c>
      <c r="I364">
        <f t="shared" si="82"/>
        <v>6160</v>
      </c>
      <c r="J364">
        <f t="shared" si="83"/>
        <v>6776.0000000000009</v>
      </c>
      <c r="K364" s="7" t="s">
        <v>855</v>
      </c>
    </row>
    <row r="365" spans="2:11">
      <c r="B365" t="s">
        <v>838</v>
      </c>
      <c r="C365" t="s">
        <v>839</v>
      </c>
      <c r="D365" s="3" t="s">
        <v>849</v>
      </c>
      <c r="E365" s="7">
        <v>125</v>
      </c>
      <c r="F365">
        <f t="shared" si="80"/>
        <v>175</v>
      </c>
      <c r="G365">
        <f t="shared" si="81"/>
        <v>192.50000000000003</v>
      </c>
      <c r="H365" s="7">
        <v>3295</v>
      </c>
      <c r="I365">
        <f t="shared" si="82"/>
        <v>4613</v>
      </c>
      <c r="J365">
        <f t="shared" si="83"/>
        <v>5074.3</v>
      </c>
      <c r="K365" s="7" t="s">
        <v>850</v>
      </c>
    </row>
    <row r="366" spans="2:11">
      <c r="B366" t="s">
        <v>838</v>
      </c>
      <c r="C366" t="s">
        <v>841</v>
      </c>
      <c r="D366" s="3" t="s">
        <v>853</v>
      </c>
      <c r="E366" s="7">
        <v>50</v>
      </c>
      <c r="F366">
        <f t="shared" si="80"/>
        <v>70</v>
      </c>
      <c r="G366">
        <f t="shared" si="81"/>
        <v>77</v>
      </c>
      <c r="H366" s="7">
        <v>1300</v>
      </c>
      <c r="I366">
        <f t="shared" si="82"/>
        <v>1819.9999999999998</v>
      </c>
      <c r="J366">
        <f t="shared" si="83"/>
        <v>2002</v>
      </c>
      <c r="K366" s="7" t="s">
        <v>854</v>
      </c>
    </row>
    <row r="367" spans="2:11">
      <c r="B367" t="s">
        <v>838</v>
      </c>
      <c r="C367" t="s">
        <v>840</v>
      </c>
      <c r="D367" s="3" t="s">
        <v>851</v>
      </c>
      <c r="E367" s="7">
        <v>125</v>
      </c>
      <c r="F367">
        <f t="shared" si="80"/>
        <v>175</v>
      </c>
      <c r="G367">
        <f t="shared" si="81"/>
        <v>192.50000000000003</v>
      </c>
      <c r="H367" s="7">
        <v>4733</v>
      </c>
      <c r="I367">
        <f t="shared" si="82"/>
        <v>6626.2</v>
      </c>
      <c r="J367">
        <f t="shared" si="83"/>
        <v>7288.8200000000006</v>
      </c>
      <c r="K367" s="7" t="s">
        <v>852</v>
      </c>
    </row>
    <row r="369" spans="1:11">
      <c r="B369" t="s">
        <v>869</v>
      </c>
      <c r="C369" t="s">
        <v>872</v>
      </c>
      <c r="E369" s="7">
        <v>350</v>
      </c>
      <c r="F369">
        <f>E369*1.4</f>
        <v>489.99999999999994</v>
      </c>
      <c r="G369">
        <f>F369*1.1</f>
        <v>539</v>
      </c>
      <c r="I369">
        <f>H369*1.4</f>
        <v>0</v>
      </c>
      <c r="J369">
        <f>I369*1.1</f>
        <v>0</v>
      </c>
      <c r="K369" s="7" t="s">
        <v>873</v>
      </c>
    </row>
    <row r="370" spans="1:11">
      <c r="B370" t="s">
        <v>869</v>
      </c>
      <c r="C370" t="s">
        <v>870</v>
      </c>
      <c r="E370" s="7">
        <v>125</v>
      </c>
      <c r="F370">
        <f>E370*1.4</f>
        <v>175</v>
      </c>
      <c r="G370">
        <f>F370*1.1</f>
        <v>192.50000000000003</v>
      </c>
      <c r="H370" s="7">
        <v>1200</v>
      </c>
      <c r="I370">
        <f>H370*1.4</f>
        <v>1680</v>
      </c>
      <c r="J370">
        <f>I370*1.1</f>
        <v>1848.0000000000002</v>
      </c>
      <c r="K370" s="7" t="s">
        <v>871</v>
      </c>
    </row>
    <row r="372" spans="1:11">
      <c r="B372" t="s">
        <v>874</v>
      </c>
      <c r="C372" t="s">
        <v>875</v>
      </c>
      <c r="E372" s="7">
        <v>70</v>
      </c>
      <c r="F372">
        <f t="shared" si="72"/>
        <v>98</v>
      </c>
      <c r="G372">
        <f t="shared" si="73"/>
        <v>107.80000000000001</v>
      </c>
      <c r="I372">
        <f t="shared" si="74"/>
        <v>0</v>
      </c>
      <c r="J372">
        <f t="shared" si="75"/>
        <v>0</v>
      </c>
    </row>
    <row r="374" spans="1:11" ht="23.25">
      <c r="A374" s="1" t="s">
        <v>876</v>
      </c>
    </row>
    <row r="375" spans="1:11">
      <c r="B375" t="s">
        <v>877</v>
      </c>
      <c r="C375" t="s">
        <v>893</v>
      </c>
      <c r="D375" s="3" t="s">
        <v>894</v>
      </c>
      <c r="E375" s="7">
        <v>5000</v>
      </c>
      <c r="F375">
        <f t="shared" ref="F375:F381" si="84">E375*1.4</f>
        <v>7000</v>
      </c>
      <c r="G375">
        <f t="shared" ref="G375:G381" si="85">F375*1.1</f>
        <v>7700.0000000000009</v>
      </c>
      <c r="H375" s="7">
        <v>12000</v>
      </c>
      <c r="I375">
        <f t="shared" ref="I375:I381" si="86">H375*1.4</f>
        <v>16800</v>
      </c>
      <c r="J375">
        <f t="shared" ref="J375:J381" si="87">I375*1.1</f>
        <v>18480</v>
      </c>
      <c r="K375" s="7" t="s">
        <v>895</v>
      </c>
    </row>
    <row r="376" spans="1:11">
      <c r="B376" t="s">
        <v>877</v>
      </c>
      <c r="C376" t="s">
        <v>887</v>
      </c>
      <c r="D376" s="3" t="s">
        <v>888</v>
      </c>
      <c r="E376" s="7">
        <v>100</v>
      </c>
      <c r="F376">
        <f t="shared" si="84"/>
        <v>140</v>
      </c>
      <c r="G376">
        <f t="shared" si="85"/>
        <v>154</v>
      </c>
      <c r="H376" s="7">
        <v>4110</v>
      </c>
      <c r="I376">
        <f t="shared" si="86"/>
        <v>5754</v>
      </c>
      <c r="J376">
        <f t="shared" si="87"/>
        <v>6329.4000000000005</v>
      </c>
      <c r="K376" s="7" t="s">
        <v>889</v>
      </c>
    </row>
    <row r="377" spans="1:11">
      <c r="B377" t="s">
        <v>877</v>
      </c>
      <c r="C377" t="s">
        <v>882</v>
      </c>
      <c r="D377" s="3" t="s">
        <v>881</v>
      </c>
      <c r="E377" s="7">
        <v>300</v>
      </c>
      <c r="F377">
        <f t="shared" si="84"/>
        <v>420</v>
      </c>
      <c r="G377">
        <f t="shared" si="85"/>
        <v>462.00000000000006</v>
      </c>
      <c r="H377" s="7">
        <v>7995</v>
      </c>
      <c r="I377">
        <f t="shared" si="86"/>
        <v>11193</v>
      </c>
      <c r="J377">
        <f t="shared" si="87"/>
        <v>12312.300000000001</v>
      </c>
      <c r="K377" s="7" t="s">
        <v>883</v>
      </c>
    </row>
    <row r="378" spans="1:11">
      <c r="B378" t="s">
        <v>877</v>
      </c>
      <c r="C378" t="s">
        <v>878</v>
      </c>
      <c r="D378" s="3" t="s">
        <v>879</v>
      </c>
      <c r="E378" s="7">
        <v>425</v>
      </c>
      <c r="F378">
        <f t="shared" si="84"/>
        <v>595</v>
      </c>
      <c r="G378">
        <f t="shared" si="85"/>
        <v>654.5</v>
      </c>
      <c r="H378" s="7">
        <v>11995</v>
      </c>
      <c r="I378">
        <f t="shared" si="86"/>
        <v>16793</v>
      </c>
      <c r="J378">
        <f t="shared" si="87"/>
        <v>18472.300000000003</v>
      </c>
      <c r="K378" s="7" t="s">
        <v>880</v>
      </c>
    </row>
    <row r="379" spans="1:11">
      <c r="B379" t="s">
        <v>877</v>
      </c>
      <c r="C379" t="s">
        <v>885</v>
      </c>
      <c r="D379" s="3" t="s">
        <v>884</v>
      </c>
      <c r="E379" s="7">
        <v>150</v>
      </c>
      <c r="F379">
        <f t="shared" si="84"/>
        <v>210</v>
      </c>
      <c r="G379">
        <f t="shared" si="85"/>
        <v>231.00000000000003</v>
      </c>
      <c r="H379" s="7">
        <v>2995</v>
      </c>
      <c r="I379">
        <f t="shared" si="86"/>
        <v>4193</v>
      </c>
      <c r="J379">
        <f t="shared" si="87"/>
        <v>4612.3</v>
      </c>
      <c r="K379" s="7" t="s">
        <v>886</v>
      </c>
    </row>
    <row r="380" spans="1:11">
      <c r="B380" t="s">
        <v>877</v>
      </c>
      <c r="C380" t="s">
        <v>890</v>
      </c>
      <c r="D380" s="3" t="s">
        <v>891</v>
      </c>
      <c r="E380" s="7">
        <v>337</v>
      </c>
      <c r="F380">
        <f t="shared" si="84"/>
        <v>471.79999999999995</v>
      </c>
      <c r="G380">
        <f t="shared" si="85"/>
        <v>518.98</v>
      </c>
      <c r="H380" s="7">
        <v>6500</v>
      </c>
      <c r="I380">
        <f t="shared" si="86"/>
        <v>9100</v>
      </c>
      <c r="J380">
        <f t="shared" si="87"/>
        <v>10010</v>
      </c>
      <c r="K380" s="7" t="s">
        <v>892</v>
      </c>
    </row>
    <row r="381" spans="1:11">
      <c r="B381" t="s">
        <v>877</v>
      </c>
      <c r="C381" t="s">
        <v>896</v>
      </c>
      <c r="D381" s="3" t="s">
        <v>897</v>
      </c>
      <c r="E381" s="7">
        <v>150</v>
      </c>
      <c r="F381">
        <f t="shared" si="84"/>
        <v>210</v>
      </c>
      <c r="G381">
        <f t="shared" si="85"/>
        <v>231.00000000000003</v>
      </c>
      <c r="H381" s="7">
        <v>4500</v>
      </c>
      <c r="I381">
        <f t="shared" si="86"/>
        <v>6300</v>
      </c>
      <c r="J381">
        <f t="shared" si="87"/>
        <v>6930.0000000000009</v>
      </c>
      <c r="K381" s="7" t="s">
        <v>898</v>
      </c>
    </row>
    <row r="382" spans="1:11">
      <c r="F382">
        <f t="shared" ref="F382:F438" si="88">E382*1.4</f>
        <v>0</v>
      </c>
      <c r="G382">
        <f t="shared" ref="G382:G438" si="89">F382*1.1</f>
        <v>0</v>
      </c>
      <c r="I382">
        <f t="shared" ref="I382:I438" si="90">H382*1.4</f>
        <v>0</v>
      </c>
      <c r="J382">
        <f t="shared" ref="J382:J438" si="91">I382*1.1</f>
        <v>0</v>
      </c>
    </row>
    <row r="383" spans="1:11">
      <c r="A383" t="s">
        <v>985</v>
      </c>
      <c r="B383" t="s">
        <v>899</v>
      </c>
      <c r="C383" t="s">
        <v>906</v>
      </c>
      <c r="D383" s="3" t="s">
        <v>900</v>
      </c>
      <c r="E383" s="7">
        <v>49</v>
      </c>
      <c r="F383">
        <f t="shared" ref="F383:F401" si="92">E383*1.4</f>
        <v>68.599999999999994</v>
      </c>
      <c r="G383">
        <f t="shared" ref="G383:G401" si="93">F383*1.1</f>
        <v>75.459999999999994</v>
      </c>
      <c r="H383" s="7">
        <v>759</v>
      </c>
      <c r="I383">
        <f t="shared" ref="I383:I401" si="94">H383*1.4</f>
        <v>1062.5999999999999</v>
      </c>
      <c r="J383">
        <f t="shared" ref="J383:J401" si="95">I383*1.1</f>
        <v>1168.8599999999999</v>
      </c>
      <c r="K383" s="7" t="s">
        <v>923</v>
      </c>
    </row>
    <row r="384" spans="1:11">
      <c r="B384" t="s">
        <v>899</v>
      </c>
      <c r="C384" t="s">
        <v>906</v>
      </c>
      <c r="D384" s="3" t="s">
        <v>945</v>
      </c>
      <c r="E384" s="7">
        <v>65</v>
      </c>
      <c r="F384">
        <f t="shared" si="92"/>
        <v>91</v>
      </c>
      <c r="G384">
        <f t="shared" si="93"/>
        <v>100.10000000000001</v>
      </c>
      <c r="H384" s="7">
        <v>1525</v>
      </c>
      <c r="I384">
        <f t="shared" si="94"/>
        <v>2135</v>
      </c>
      <c r="J384">
        <f t="shared" si="95"/>
        <v>2348.5</v>
      </c>
      <c r="K384" s="7" t="s">
        <v>946</v>
      </c>
    </row>
    <row r="385" spans="2:11">
      <c r="B385" t="s">
        <v>899</v>
      </c>
      <c r="C385" t="s">
        <v>903</v>
      </c>
      <c r="E385" s="7">
        <v>70</v>
      </c>
      <c r="F385">
        <f t="shared" si="92"/>
        <v>98</v>
      </c>
      <c r="G385">
        <f t="shared" si="93"/>
        <v>107.80000000000001</v>
      </c>
      <c r="H385" s="7">
        <v>2255</v>
      </c>
      <c r="I385">
        <f t="shared" si="94"/>
        <v>3157</v>
      </c>
      <c r="J385">
        <f t="shared" si="95"/>
        <v>3472.7000000000003</v>
      </c>
      <c r="K385" s="7" t="s">
        <v>919</v>
      </c>
    </row>
    <row r="386" spans="2:11">
      <c r="B386" t="s">
        <v>899</v>
      </c>
      <c r="C386" t="s">
        <v>912</v>
      </c>
      <c r="D386" s="3" t="s">
        <v>900</v>
      </c>
      <c r="E386" s="7">
        <v>50</v>
      </c>
      <c r="F386">
        <f t="shared" si="92"/>
        <v>70</v>
      </c>
      <c r="G386">
        <f t="shared" si="93"/>
        <v>77</v>
      </c>
      <c r="H386" s="7">
        <v>700</v>
      </c>
      <c r="I386">
        <f t="shared" si="94"/>
        <v>979.99999999999989</v>
      </c>
      <c r="J386">
        <f t="shared" si="95"/>
        <v>1078</v>
      </c>
      <c r="K386" s="7" t="s">
        <v>934</v>
      </c>
    </row>
    <row r="387" spans="2:11">
      <c r="B387" t="s">
        <v>899</v>
      </c>
      <c r="C387" t="s">
        <v>905</v>
      </c>
      <c r="D387" s="3" t="s">
        <v>921</v>
      </c>
      <c r="E387" s="7">
        <v>75</v>
      </c>
      <c r="F387">
        <f t="shared" si="92"/>
        <v>105</v>
      </c>
      <c r="G387">
        <f t="shared" si="93"/>
        <v>115.50000000000001</v>
      </c>
      <c r="H387" s="7">
        <v>1106</v>
      </c>
      <c r="I387">
        <f t="shared" si="94"/>
        <v>1548.3999999999999</v>
      </c>
      <c r="J387">
        <f t="shared" si="95"/>
        <v>1703.24</v>
      </c>
      <c r="K387" s="7" t="s">
        <v>922</v>
      </c>
    </row>
    <row r="388" spans="2:11">
      <c r="B388" t="s">
        <v>899</v>
      </c>
      <c r="C388" t="s">
        <v>904</v>
      </c>
      <c r="F388">
        <f t="shared" si="92"/>
        <v>0</v>
      </c>
      <c r="G388">
        <f t="shared" si="93"/>
        <v>0</v>
      </c>
      <c r="H388" s="7">
        <v>23</v>
      </c>
      <c r="I388">
        <f t="shared" si="94"/>
        <v>32.199999999999996</v>
      </c>
      <c r="J388">
        <f t="shared" si="95"/>
        <v>35.42</v>
      </c>
      <c r="K388" s="7" t="s">
        <v>920</v>
      </c>
    </row>
    <row r="389" spans="2:11">
      <c r="B389" t="s">
        <v>899</v>
      </c>
      <c r="C389" t="s">
        <v>911</v>
      </c>
      <c r="D389" s="3" t="s">
        <v>932</v>
      </c>
      <c r="E389" s="7">
        <v>72</v>
      </c>
      <c r="F389">
        <f t="shared" si="92"/>
        <v>100.8</v>
      </c>
      <c r="G389">
        <f t="shared" si="93"/>
        <v>110.88000000000001</v>
      </c>
      <c r="H389" s="7">
        <v>2000</v>
      </c>
      <c r="I389">
        <f t="shared" si="94"/>
        <v>2800</v>
      </c>
      <c r="J389">
        <f t="shared" si="95"/>
        <v>3080.0000000000005</v>
      </c>
      <c r="K389" s="7" t="s">
        <v>933</v>
      </c>
    </row>
    <row r="390" spans="2:11">
      <c r="B390" t="s">
        <v>899</v>
      </c>
      <c r="C390" t="s">
        <v>910</v>
      </c>
      <c r="D390" s="3" t="s">
        <v>930</v>
      </c>
      <c r="E390" s="7">
        <v>165</v>
      </c>
      <c r="F390">
        <f t="shared" si="92"/>
        <v>230.99999999999997</v>
      </c>
      <c r="G390">
        <f t="shared" si="93"/>
        <v>254.1</v>
      </c>
      <c r="H390" s="7">
        <v>2336</v>
      </c>
      <c r="I390">
        <f t="shared" si="94"/>
        <v>3270.3999999999996</v>
      </c>
      <c r="J390">
        <f t="shared" si="95"/>
        <v>3597.44</v>
      </c>
      <c r="K390" s="7" t="s">
        <v>931</v>
      </c>
    </row>
    <row r="391" spans="2:11">
      <c r="B391" t="s">
        <v>899</v>
      </c>
      <c r="C391" t="s">
        <v>916</v>
      </c>
      <c r="D391" s="3" t="s">
        <v>943</v>
      </c>
      <c r="F391">
        <f t="shared" si="92"/>
        <v>0</v>
      </c>
      <c r="G391">
        <f t="shared" si="93"/>
        <v>0</v>
      </c>
      <c r="H391" s="7">
        <v>2600</v>
      </c>
      <c r="I391">
        <f t="shared" si="94"/>
        <v>3639.9999999999995</v>
      </c>
      <c r="J391">
        <f t="shared" si="95"/>
        <v>4004</v>
      </c>
      <c r="K391" s="7" t="s">
        <v>944</v>
      </c>
    </row>
    <row r="392" spans="2:11">
      <c r="B392" t="s">
        <v>899</v>
      </c>
      <c r="C392" t="s">
        <v>917</v>
      </c>
      <c r="D392" s="3" t="s">
        <v>941</v>
      </c>
      <c r="E392" s="7">
        <v>140</v>
      </c>
      <c r="F392">
        <f t="shared" si="92"/>
        <v>196</v>
      </c>
      <c r="G392">
        <f t="shared" si="93"/>
        <v>215.60000000000002</v>
      </c>
      <c r="H392" s="7">
        <v>4800</v>
      </c>
      <c r="I392">
        <f t="shared" si="94"/>
        <v>6720</v>
      </c>
      <c r="J392">
        <f t="shared" si="95"/>
        <v>7392.0000000000009</v>
      </c>
      <c r="K392" s="7" t="s">
        <v>942</v>
      </c>
    </row>
    <row r="393" spans="2:11">
      <c r="B393" t="s">
        <v>899</v>
      </c>
      <c r="C393" t="s">
        <v>914</v>
      </c>
      <c r="D393" s="3" t="s">
        <v>936</v>
      </c>
      <c r="E393" s="7">
        <v>6</v>
      </c>
      <c r="F393">
        <f t="shared" si="92"/>
        <v>8.3999999999999986</v>
      </c>
      <c r="G393">
        <f t="shared" si="93"/>
        <v>9.2399999999999984</v>
      </c>
      <c r="I393">
        <f t="shared" si="94"/>
        <v>0</v>
      </c>
      <c r="J393">
        <f t="shared" si="95"/>
        <v>0</v>
      </c>
      <c r="K393" s="7" t="s">
        <v>937</v>
      </c>
    </row>
    <row r="394" spans="2:11">
      <c r="B394" t="s">
        <v>899</v>
      </c>
      <c r="C394" t="s">
        <v>908</v>
      </c>
      <c r="D394" s="3" t="s">
        <v>926</v>
      </c>
      <c r="E394" s="7">
        <v>52</v>
      </c>
      <c r="F394">
        <f t="shared" si="92"/>
        <v>72.8</v>
      </c>
      <c r="G394">
        <f t="shared" si="93"/>
        <v>80.08</v>
      </c>
      <c r="H394" s="7">
        <v>639</v>
      </c>
      <c r="I394">
        <f t="shared" si="94"/>
        <v>894.59999999999991</v>
      </c>
      <c r="J394">
        <f t="shared" si="95"/>
        <v>984.06</v>
      </c>
      <c r="K394" s="7" t="s">
        <v>927</v>
      </c>
    </row>
    <row r="395" spans="2:11">
      <c r="B395" t="s">
        <v>899</v>
      </c>
      <c r="C395" t="s">
        <v>909</v>
      </c>
      <c r="D395" s="3" t="s">
        <v>928</v>
      </c>
      <c r="E395" s="7">
        <v>50</v>
      </c>
      <c r="F395">
        <f t="shared" si="92"/>
        <v>70</v>
      </c>
      <c r="G395">
        <f t="shared" si="93"/>
        <v>77</v>
      </c>
      <c r="H395" s="7">
        <v>900</v>
      </c>
      <c r="I395">
        <f t="shared" si="94"/>
        <v>1260</v>
      </c>
      <c r="J395">
        <f t="shared" si="95"/>
        <v>1386</v>
      </c>
      <c r="K395" s="7" t="s">
        <v>929</v>
      </c>
    </row>
    <row r="396" spans="2:11">
      <c r="B396" t="s">
        <v>899</v>
      </c>
      <c r="C396" t="s">
        <v>907</v>
      </c>
      <c r="D396" s="3" t="s">
        <v>924</v>
      </c>
      <c r="E396" s="7">
        <v>65</v>
      </c>
      <c r="F396">
        <f t="shared" si="92"/>
        <v>91</v>
      </c>
      <c r="G396">
        <f t="shared" si="93"/>
        <v>100.10000000000001</v>
      </c>
      <c r="I396">
        <f t="shared" si="94"/>
        <v>0</v>
      </c>
      <c r="J396">
        <f t="shared" si="95"/>
        <v>0</v>
      </c>
      <c r="K396" s="7" t="s">
        <v>925</v>
      </c>
    </row>
    <row r="397" spans="2:11">
      <c r="B397" t="s">
        <v>899</v>
      </c>
      <c r="C397" t="s">
        <v>915</v>
      </c>
      <c r="D397" s="3" t="s">
        <v>938</v>
      </c>
      <c r="E397" s="7">
        <v>199</v>
      </c>
      <c r="F397">
        <f t="shared" si="92"/>
        <v>278.59999999999997</v>
      </c>
      <c r="G397">
        <f t="shared" si="93"/>
        <v>306.45999999999998</v>
      </c>
      <c r="H397" s="7">
        <v>2500</v>
      </c>
      <c r="I397">
        <f t="shared" si="94"/>
        <v>3500</v>
      </c>
      <c r="J397">
        <f t="shared" si="95"/>
        <v>3850.0000000000005</v>
      </c>
      <c r="K397" s="7" t="s">
        <v>939</v>
      </c>
    </row>
    <row r="398" spans="2:11">
      <c r="B398" t="s">
        <v>899</v>
      </c>
      <c r="C398" t="s">
        <v>918</v>
      </c>
      <c r="D398" s="3" t="s">
        <v>900</v>
      </c>
      <c r="E398" s="7">
        <v>47</v>
      </c>
      <c r="F398">
        <f t="shared" si="92"/>
        <v>65.8</v>
      </c>
      <c r="G398">
        <f t="shared" si="93"/>
        <v>72.38000000000001</v>
      </c>
      <c r="H398" s="7">
        <v>500</v>
      </c>
      <c r="I398">
        <f t="shared" si="94"/>
        <v>700</v>
      </c>
      <c r="J398">
        <f t="shared" si="95"/>
        <v>770.00000000000011</v>
      </c>
      <c r="K398" s="7" t="s">
        <v>901</v>
      </c>
    </row>
    <row r="399" spans="2:11">
      <c r="B399" t="s">
        <v>899</v>
      </c>
      <c r="C399" t="s">
        <v>902</v>
      </c>
      <c r="D399" s="3" t="s">
        <v>900</v>
      </c>
      <c r="E399" s="7">
        <v>47</v>
      </c>
      <c r="F399">
        <f t="shared" si="92"/>
        <v>65.8</v>
      </c>
      <c r="G399">
        <f t="shared" si="93"/>
        <v>72.38000000000001</v>
      </c>
      <c r="H399" s="7">
        <v>500</v>
      </c>
      <c r="I399">
        <f t="shared" si="94"/>
        <v>700</v>
      </c>
      <c r="J399">
        <f t="shared" si="95"/>
        <v>770.00000000000011</v>
      </c>
      <c r="K399" s="7" t="s">
        <v>901</v>
      </c>
    </row>
    <row r="400" spans="2:11">
      <c r="B400" t="s">
        <v>899</v>
      </c>
      <c r="C400" t="s">
        <v>947</v>
      </c>
      <c r="D400" s="3" t="s">
        <v>940</v>
      </c>
      <c r="E400" s="7">
        <v>90</v>
      </c>
      <c r="F400">
        <f t="shared" si="92"/>
        <v>125.99999999999999</v>
      </c>
      <c r="G400">
        <f t="shared" si="93"/>
        <v>138.6</v>
      </c>
      <c r="H400" s="7">
        <v>346</v>
      </c>
      <c r="I400">
        <f t="shared" si="94"/>
        <v>484.4</v>
      </c>
      <c r="J400">
        <f t="shared" si="95"/>
        <v>532.84</v>
      </c>
      <c r="K400" s="7" t="s">
        <v>948</v>
      </c>
    </row>
    <row r="401" spans="2:11">
      <c r="B401" t="s">
        <v>899</v>
      </c>
      <c r="C401" t="s">
        <v>913</v>
      </c>
      <c r="D401" s="3" t="s">
        <v>936</v>
      </c>
      <c r="E401" s="7">
        <v>6</v>
      </c>
      <c r="F401">
        <f t="shared" si="92"/>
        <v>8.3999999999999986</v>
      </c>
      <c r="G401">
        <f t="shared" si="93"/>
        <v>9.2399999999999984</v>
      </c>
      <c r="I401">
        <f t="shared" si="94"/>
        <v>0</v>
      </c>
      <c r="J401">
        <f t="shared" si="95"/>
        <v>0</v>
      </c>
      <c r="K401" s="7" t="s">
        <v>935</v>
      </c>
    </row>
    <row r="403" spans="2:11">
      <c r="B403" t="s">
        <v>949</v>
      </c>
      <c r="C403" t="s">
        <v>954</v>
      </c>
      <c r="D403" s="3" t="s">
        <v>976</v>
      </c>
      <c r="E403" s="7">
        <v>342</v>
      </c>
      <c r="F403">
        <f t="shared" ref="F403:F409" si="96">E403*1.4</f>
        <v>478.79999999999995</v>
      </c>
      <c r="G403">
        <f t="shared" ref="G403:G409" si="97">F403*1.1</f>
        <v>526.67999999999995</v>
      </c>
      <c r="I403">
        <f t="shared" ref="I403:I409" si="98">H403*1.4</f>
        <v>0</v>
      </c>
      <c r="J403">
        <f t="shared" ref="J403:J409" si="99">I403*1.1</f>
        <v>0</v>
      </c>
      <c r="K403" s="7" t="s">
        <v>977</v>
      </c>
    </row>
    <row r="404" spans="2:11">
      <c r="B404" t="s">
        <v>949</v>
      </c>
      <c r="C404" t="s">
        <v>953</v>
      </c>
      <c r="E404" s="7">
        <v>250</v>
      </c>
      <c r="F404">
        <f t="shared" si="96"/>
        <v>350</v>
      </c>
      <c r="G404">
        <f t="shared" si="97"/>
        <v>385.00000000000006</v>
      </c>
      <c r="H404" s="7">
        <v>9999</v>
      </c>
      <c r="I404">
        <f t="shared" si="98"/>
        <v>13998.599999999999</v>
      </c>
      <c r="J404">
        <f t="shared" si="99"/>
        <v>15398.46</v>
      </c>
      <c r="K404" s="7" t="s">
        <v>978</v>
      </c>
    </row>
    <row r="405" spans="2:11">
      <c r="B405" t="s">
        <v>949</v>
      </c>
      <c r="C405" t="s">
        <v>956</v>
      </c>
      <c r="E405" s="7">
        <v>365</v>
      </c>
      <c r="F405">
        <f t="shared" si="96"/>
        <v>510.99999999999994</v>
      </c>
      <c r="G405">
        <f t="shared" si="97"/>
        <v>562.1</v>
      </c>
      <c r="H405" s="7">
        <v>43000</v>
      </c>
      <c r="I405">
        <f t="shared" si="98"/>
        <v>60199.999999999993</v>
      </c>
      <c r="J405">
        <f t="shared" si="99"/>
        <v>66220</v>
      </c>
      <c r="K405" s="7" t="s">
        <v>980</v>
      </c>
    </row>
    <row r="406" spans="2:11">
      <c r="B406" t="s">
        <v>949</v>
      </c>
      <c r="C406" t="s">
        <v>952</v>
      </c>
      <c r="E406" s="7">
        <v>600</v>
      </c>
      <c r="F406">
        <f t="shared" si="96"/>
        <v>840</v>
      </c>
      <c r="G406">
        <f t="shared" si="97"/>
        <v>924.00000000000011</v>
      </c>
      <c r="H406" s="7">
        <v>92000</v>
      </c>
      <c r="I406">
        <f t="shared" si="98"/>
        <v>128799.99999999999</v>
      </c>
      <c r="J406">
        <f t="shared" si="99"/>
        <v>141680</v>
      </c>
      <c r="K406" s="7" t="s">
        <v>975</v>
      </c>
    </row>
    <row r="407" spans="2:11">
      <c r="B407" t="s">
        <v>949</v>
      </c>
      <c r="C407" t="s">
        <v>951</v>
      </c>
      <c r="E407" s="7">
        <v>150</v>
      </c>
      <c r="F407">
        <f t="shared" si="96"/>
        <v>210</v>
      </c>
      <c r="G407">
        <f t="shared" si="97"/>
        <v>231.00000000000003</v>
      </c>
      <c r="H407" s="7">
        <v>500</v>
      </c>
      <c r="I407">
        <f t="shared" si="98"/>
        <v>700</v>
      </c>
      <c r="J407">
        <f t="shared" si="99"/>
        <v>770.00000000000011</v>
      </c>
      <c r="K407" s="7" t="s">
        <v>974</v>
      </c>
    </row>
    <row r="408" spans="2:11">
      <c r="B408" t="s">
        <v>949</v>
      </c>
      <c r="C408" t="s">
        <v>950</v>
      </c>
      <c r="E408" s="7">
        <v>325</v>
      </c>
      <c r="F408">
        <f t="shared" si="96"/>
        <v>454.99999999999994</v>
      </c>
      <c r="G408">
        <f t="shared" si="97"/>
        <v>500.5</v>
      </c>
      <c r="H408" s="7">
        <v>32000</v>
      </c>
      <c r="I408">
        <f t="shared" si="98"/>
        <v>44800</v>
      </c>
      <c r="J408">
        <f t="shared" si="99"/>
        <v>49280.000000000007</v>
      </c>
      <c r="K408" s="7" t="s">
        <v>973</v>
      </c>
    </row>
    <row r="409" spans="2:11">
      <c r="B409" t="s">
        <v>949</v>
      </c>
      <c r="C409" t="s">
        <v>955</v>
      </c>
      <c r="E409" s="7">
        <v>85</v>
      </c>
      <c r="F409">
        <f t="shared" si="96"/>
        <v>118.99999999999999</v>
      </c>
      <c r="G409">
        <f t="shared" si="97"/>
        <v>130.9</v>
      </c>
      <c r="H409" s="7">
        <v>3799</v>
      </c>
      <c r="I409">
        <f t="shared" si="98"/>
        <v>5318.5999999999995</v>
      </c>
      <c r="J409">
        <f t="shared" si="99"/>
        <v>5850.46</v>
      </c>
      <c r="K409" s="7" t="s">
        <v>979</v>
      </c>
    </row>
    <row r="411" spans="2:11">
      <c r="B411" t="s">
        <v>957</v>
      </c>
      <c r="C411" t="s">
        <v>958</v>
      </c>
      <c r="D411" s="3" t="s">
        <v>961</v>
      </c>
      <c r="E411" s="7">
        <v>40</v>
      </c>
      <c r="F411">
        <f>E411*1.4</f>
        <v>56</v>
      </c>
      <c r="G411">
        <f>F411*1.1</f>
        <v>61.600000000000009</v>
      </c>
      <c r="H411" s="7">
        <v>500</v>
      </c>
      <c r="I411">
        <f>H411*1.4</f>
        <v>700</v>
      </c>
      <c r="J411">
        <f>I411*1.1</f>
        <v>770.00000000000011</v>
      </c>
      <c r="K411" s="7" t="s">
        <v>962</v>
      </c>
    </row>
    <row r="412" spans="2:11">
      <c r="B412" t="s">
        <v>957</v>
      </c>
      <c r="C412" t="s">
        <v>959</v>
      </c>
      <c r="D412" s="3" t="s">
        <v>960</v>
      </c>
      <c r="E412" s="7">
        <v>50</v>
      </c>
      <c r="F412">
        <f>E412*1.4</f>
        <v>70</v>
      </c>
      <c r="G412">
        <f>F412*1.1</f>
        <v>77</v>
      </c>
      <c r="H412" s="7">
        <v>900</v>
      </c>
      <c r="I412">
        <f>H412*1.4</f>
        <v>1260</v>
      </c>
      <c r="J412">
        <f>I412*1.1</f>
        <v>1386</v>
      </c>
      <c r="K412" s="7" t="s">
        <v>963</v>
      </c>
    </row>
    <row r="413" spans="2:11">
      <c r="F413">
        <f t="shared" si="88"/>
        <v>0</v>
      </c>
      <c r="G413">
        <f t="shared" si="89"/>
        <v>0</v>
      </c>
      <c r="I413">
        <f t="shared" si="90"/>
        <v>0</v>
      </c>
      <c r="J413">
        <f t="shared" si="91"/>
        <v>0</v>
      </c>
    </row>
    <row r="414" spans="2:11">
      <c r="B414" t="s">
        <v>964</v>
      </c>
      <c r="C414" t="s">
        <v>966</v>
      </c>
      <c r="F414">
        <f>E414*1.4</f>
        <v>0</v>
      </c>
      <c r="G414">
        <f>F414*1.1</f>
        <v>0</v>
      </c>
      <c r="H414" s="7">
        <v>27000</v>
      </c>
      <c r="I414">
        <f>H414*1.4</f>
        <v>37800</v>
      </c>
      <c r="J414">
        <f>I414*1.1</f>
        <v>41580</v>
      </c>
      <c r="K414" s="7" t="s">
        <v>970</v>
      </c>
    </row>
    <row r="415" spans="2:11">
      <c r="B415" t="s">
        <v>964</v>
      </c>
      <c r="C415" t="s">
        <v>965</v>
      </c>
      <c r="F415">
        <f>E415*1.4</f>
        <v>0</v>
      </c>
      <c r="G415">
        <f>F415*1.1</f>
        <v>0</v>
      </c>
      <c r="H415" s="7">
        <v>27000</v>
      </c>
      <c r="I415">
        <f>H415*1.4</f>
        <v>37800</v>
      </c>
      <c r="J415">
        <f>I415*1.1</f>
        <v>41580</v>
      </c>
      <c r="K415" s="7" t="s">
        <v>969</v>
      </c>
    </row>
    <row r="416" spans="2:11">
      <c r="B416" t="s">
        <v>964</v>
      </c>
      <c r="C416" t="s">
        <v>967</v>
      </c>
      <c r="F416">
        <f>E416*1.4</f>
        <v>0</v>
      </c>
      <c r="G416">
        <f>F416*1.1</f>
        <v>0</v>
      </c>
      <c r="I416">
        <f>H416*1.4</f>
        <v>0</v>
      </c>
      <c r="J416">
        <f>I416*1.1</f>
        <v>0</v>
      </c>
      <c r="K416" s="7" t="s">
        <v>971</v>
      </c>
    </row>
    <row r="417" spans="1:11">
      <c r="B417" t="s">
        <v>964</v>
      </c>
      <c r="C417" t="s">
        <v>968</v>
      </c>
      <c r="F417">
        <f>E417*1.4</f>
        <v>0</v>
      </c>
      <c r="G417">
        <f>F417*1.1</f>
        <v>0</v>
      </c>
      <c r="H417" s="7">
        <v>35000</v>
      </c>
      <c r="I417">
        <f>H417*1.4</f>
        <v>49000</v>
      </c>
      <c r="J417">
        <f>I417*1.1</f>
        <v>53900.000000000007</v>
      </c>
      <c r="K417" s="7" t="s">
        <v>972</v>
      </c>
    </row>
    <row r="418" spans="1:11">
      <c r="F418">
        <f t="shared" si="88"/>
        <v>0</v>
      </c>
      <c r="G418">
        <f t="shared" si="89"/>
        <v>0</v>
      </c>
      <c r="I418">
        <f t="shared" si="90"/>
        <v>0</v>
      </c>
      <c r="J418">
        <f t="shared" si="91"/>
        <v>0</v>
      </c>
    </row>
    <row r="419" spans="1:11" ht="23.25">
      <c r="A419" s="1" t="s">
        <v>981</v>
      </c>
      <c r="F419">
        <f t="shared" si="88"/>
        <v>0</v>
      </c>
      <c r="G419">
        <f t="shared" si="89"/>
        <v>0</v>
      </c>
      <c r="I419">
        <f t="shared" si="90"/>
        <v>0</v>
      </c>
      <c r="J419">
        <f t="shared" si="91"/>
        <v>0</v>
      </c>
    </row>
    <row r="420" spans="1:11">
      <c r="B420" t="s">
        <v>986</v>
      </c>
      <c r="C420" t="s">
        <v>992</v>
      </c>
      <c r="E420" s="7">
        <v>14</v>
      </c>
      <c r="F420">
        <f t="shared" ref="F420:F436" si="100">E420*1.4</f>
        <v>19.599999999999998</v>
      </c>
      <c r="G420">
        <f t="shared" ref="G420:G436" si="101">F420*1.1</f>
        <v>21.56</v>
      </c>
      <c r="H420" s="7">
        <v>150</v>
      </c>
      <c r="I420">
        <f t="shared" ref="I420:I436" si="102">H420*1.4</f>
        <v>210</v>
      </c>
      <c r="J420">
        <f t="shared" ref="J420:J436" si="103">I420*1.1</f>
        <v>231.00000000000003</v>
      </c>
      <c r="K420" s="7" t="s">
        <v>1015</v>
      </c>
    </row>
    <row r="421" spans="1:11">
      <c r="B421" t="s">
        <v>986</v>
      </c>
      <c r="C421" t="s">
        <v>996</v>
      </c>
      <c r="E421" s="7">
        <v>5</v>
      </c>
      <c r="F421">
        <f t="shared" si="100"/>
        <v>7</v>
      </c>
      <c r="G421">
        <f t="shared" si="101"/>
        <v>7.7000000000000011</v>
      </c>
      <c r="H421" s="7">
        <v>25</v>
      </c>
      <c r="I421">
        <f t="shared" si="102"/>
        <v>35</v>
      </c>
      <c r="J421">
        <f t="shared" si="103"/>
        <v>38.5</v>
      </c>
      <c r="K421" s="7" t="s">
        <v>1019</v>
      </c>
    </row>
    <row r="422" spans="1:11">
      <c r="B422" t="s">
        <v>986</v>
      </c>
      <c r="C422" t="s">
        <v>997</v>
      </c>
      <c r="D422" s="3" t="s">
        <v>1020</v>
      </c>
      <c r="E422" s="7">
        <v>7</v>
      </c>
      <c r="F422">
        <f t="shared" si="100"/>
        <v>9.7999999999999989</v>
      </c>
      <c r="G422">
        <f t="shared" si="101"/>
        <v>10.78</v>
      </c>
      <c r="H422" s="7">
        <v>40</v>
      </c>
      <c r="I422">
        <f t="shared" si="102"/>
        <v>56</v>
      </c>
      <c r="J422">
        <f t="shared" si="103"/>
        <v>61.600000000000009</v>
      </c>
      <c r="K422" s="7" t="s">
        <v>1021</v>
      </c>
    </row>
    <row r="423" spans="1:11">
      <c r="B423" t="s">
        <v>986</v>
      </c>
      <c r="C423" t="s">
        <v>998</v>
      </c>
      <c r="D423" s="3" t="s">
        <v>1022</v>
      </c>
      <c r="E423" s="7">
        <v>5</v>
      </c>
      <c r="F423">
        <f t="shared" si="100"/>
        <v>7</v>
      </c>
      <c r="G423">
        <f t="shared" si="101"/>
        <v>7.7000000000000011</v>
      </c>
      <c r="H423" s="7">
        <v>20</v>
      </c>
      <c r="I423">
        <f t="shared" si="102"/>
        <v>28</v>
      </c>
      <c r="J423">
        <f t="shared" si="103"/>
        <v>30.800000000000004</v>
      </c>
      <c r="K423" s="7" t="s">
        <v>1023</v>
      </c>
    </row>
    <row r="424" spans="1:11">
      <c r="B424" t="s">
        <v>986</v>
      </c>
      <c r="C424" t="s">
        <v>993</v>
      </c>
      <c r="E424" s="7">
        <v>15</v>
      </c>
      <c r="F424">
        <f t="shared" si="100"/>
        <v>21</v>
      </c>
      <c r="G424">
        <f t="shared" si="101"/>
        <v>23.1</v>
      </c>
      <c r="H424" s="7">
        <v>150</v>
      </c>
      <c r="I424">
        <f t="shared" si="102"/>
        <v>210</v>
      </c>
      <c r="J424">
        <f t="shared" si="103"/>
        <v>231.00000000000003</v>
      </c>
      <c r="K424" s="7" t="s">
        <v>1016</v>
      </c>
    </row>
    <row r="425" spans="1:11">
      <c r="B425" t="s">
        <v>986</v>
      </c>
      <c r="C425" t="s">
        <v>990</v>
      </c>
      <c r="E425" s="7">
        <v>26</v>
      </c>
      <c r="F425">
        <f t="shared" si="100"/>
        <v>36.4</v>
      </c>
      <c r="G425">
        <f t="shared" si="101"/>
        <v>40.04</v>
      </c>
      <c r="H425" s="7">
        <v>1200</v>
      </c>
      <c r="I425">
        <f t="shared" si="102"/>
        <v>1680</v>
      </c>
      <c r="J425">
        <f t="shared" si="103"/>
        <v>1848.0000000000002</v>
      </c>
      <c r="K425" s="7" t="s">
        <v>1013</v>
      </c>
    </row>
    <row r="426" spans="1:11">
      <c r="B426" t="s">
        <v>986</v>
      </c>
      <c r="C426" t="s">
        <v>1000</v>
      </c>
      <c r="D426" s="3" t="s">
        <v>1026</v>
      </c>
      <c r="E426" s="7">
        <v>25</v>
      </c>
      <c r="F426">
        <f t="shared" si="100"/>
        <v>35</v>
      </c>
      <c r="G426">
        <f t="shared" si="101"/>
        <v>38.5</v>
      </c>
      <c r="H426" s="7">
        <v>400</v>
      </c>
      <c r="I426">
        <f t="shared" si="102"/>
        <v>560</v>
      </c>
      <c r="J426">
        <f t="shared" si="103"/>
        <v>616</v>
      </c>
      <c r="K426" s="7" t="s">
        <v>1027</v>
      </c>
    </row>
    <row r="427" spans="1:11">
      <c r="B427" t="s">
        <v>986</v>
      </c>
      <c r="C427" t="s">
        <v>989</v>
      </c>
      <c r="D427" s="3" t="s">
        <v>1011</v>
      </c>
      <c r="E427" s="7">
        <v>25</v>
      </c>
      <c r="F427">
        <f t="shared" si="100"/>
        <v>35</v>
      </c>
      <c r="G427">
        <f t="shared" si="101"/>
        <v>38.5</v>
      </c>
      <c r="H427" s="7">
        <v>299</v>
      </c>
      <c r="I427">
        <f t="shared" si="102"/>
        <v>418.59999999999997</v>
      </c>
      <c r="J427">
        <f t="shared" si="103"/>
        <v>460.46</v>
      </c>
      <c r="K427" s="7" t="s">
        <v>1012</v>
      </c>
    </row>
    <row r="428" spans="1:11">
      <c r="B428" t="s">
        <v>986</v>
      </c>
      <c r="C428" t="s">
        <v>1003</v>
      </c>
      <c r="E428" s="7">
        <v>15</v>
      </c>
      <c r="F428">
        <f t="shared" si="100"/>
        <v>21</v>
      </c>
      <c r="G428">
        <f t="shared" si="101"/>
        <v>23.1</v>
      </c>
      <c r="H428" s="7">
        <v>399</v>
      </c>
      <c r="I428">
        <f t="shared" si="102"/>
        <v>558.59999999999991</v>
      </c>
      <c r="J428">
        <f t="shared" si="103"/>
        <v>614.45999999999992</v>
      </c>
      <c r="K428" s="7" t="s">
        <v>1030</v>
      </c>
    </row>
    <row r="429" spans="1:11">
      <c r="B429" t="s">
        <v>986</v>
      </c>
      <c r="C429" t="s">
        <v>987</v>
      </c>
      <c r="D429" s="3" t="s">
        <v>1007</v>
      </c>
      <c r="E429" s="7">
        <v>35</v>
      </c>
      <c r="F429">
        <f t="shared" si="100"/>
        <v>49</v>
      </c>
      <c r="G429">
        <f t="shared" si="101"/>
        <v>53.900000000000006</v>
      </c>
      <c r="H429" s="7">
        <v>499</v>
      </c>
      <c r="I429">
        <f t="shared" si="102"/>
        <v>698.59999999999991</v>
      </c>
      <c r="J429">
        <f t="shared" si="103"/>
        <v>768.45999999999992</v>
      </c>
      <c r="K429" s="7" t="s">
        <v>1008</v>
      </c>
    </row>
    <row r="430" spans="1:11">
      <c r="B430" t="s">
        <v>986</v>
      </c>
      <c r="C430" t="s">
        <v>1001</v>
      </c>
      <c r="E430" s="7">
        <v>10</v>
      </c>
      <c r="F430">
        <f t="shared" si="100"/>
        <v>14</v>
      </c>
      <c r="G430">
        <f t="shared" si="101"/>
        <v>15.400000000000002</v>
      </c>
      <c r="H430" s="7">
        <v>149</v>
      </c>
      <c r="I430">
        <f t="shared" si="102"/>
        <v>208.6</v>
      </c>
      <c r="J430">
        <f t="shared" si="103"/>
        <v>229.46</v>
      </c>
      <c r="K430" s="7" t="s">
        <v>1028</v>
      </c>
    </row>
    <row r="431" spans="1:11">
      <c r="B431" t="s">
        <v>986</v>
      </c>
      <c r="C431" t="s">
        <v>988</v>
      </c>
      <c r="D431" s="3" t="s">
        <v>1009</v>
      </c>
      <c r="E431" s="7">
        <v>24</v>
      </c>
      <c r="F431">
        <f t="shared" si="100"/>
        <v>33.599999999999994</v>
      </c>
      <c r="G431">
        <f t="shared" si="101"/>
        <v>36.959999999999994</v>
      </c>
      <c r="H431" s="7">
        <v>399</v>
      </c>
      <c r="I431">
        <f t="shared" si="102"/>
        <v>558.59999999999991</v>
      </c>
      <c r="J431">
        <f t="shared" si="103"/>
        <v>614.45999999999992</v>
      </c>
      <c r="K431" s="7" t="s">
        <v>1010</v>
      </c>
    </row>
    <row r="432" spans="1:11">
      <c r="B432" t="s">
        <v>986</v>
      </c>
      <c r="C432" t="s">
        <v>995</v>
      </c>
      <c r="E432" s="7">
        <v>40</v>
      </c>
      <c r="F432">
        <f t="shared" si="100"/>
        <v>56</v>
      </c>
      <c r="G432">
        <f t="shared" si="101"/>
        <v>61.600000000000009</v>
      </c>
      <c r="H432" s="7">
        <v>399</v>
      </c>
      <c r="I432">
        <f t="shared" si="102"/>
        <v>558.59999999999991</v>
      </c>
      <c r="J432">
        <f t="shared" si="103"/>
        <v>614.45999999999992</v>
      </c>
      <c r="K432" s="7" t="s">
        <v>1018</v>
      </c>
    </row>
    <row r="433" spans="1:11">
      <c r="B433" t="s">
        <v>986</v>
      </c>
      <c r="C433" t="s">
        <v>1002</v>
      </c>
      <c r="E433" s="7">
        <v>50</v>
      </c>
      <c r="F433">
        <f t="shared" si="100"/>
        <v>70</v>
      </c>
      <c r="G433">
        <f t="shared" si="101"/>
        <v>77</v>
      </c>
      <c r="H433" s="7">
        <v>200</v>
      </c>
      <c r="I433">
        <f t="shared" si="102"/>
        <v>280</v>
      </c>
      <c r="J433">
        <f t="shared" si="103"/>
        <v>308</v>
      </c>
      <c r="K433" s="7" t="s">
        <v>1029</v>
      </c>
    </row>
    <row r="434" spans="1:11">
      <c r="B434" t="s">
        <v>986</v>
      </c>
      <c r="C434" t="s">
        <v>999</v>
      </c>
      <c r="D434" s="3" t="s">
        <v>1024</v>
      </c>
      <c r="E434" s="7">
        <v>30</v>
      </c>
      <c r="F434">
        <f t="shared" si="100"/>
        <v>42</v>
      </c>
      <c r="G434">
        <f t="shared" si="101"/>
        <v>46.2</v>
      </c>
      <c r="H434" s="7">
        <v>500</v>
      </c>
      <c r="I434">
        <f t="shared" si="102"/>
        <v>700</v>
      </c>
      <c r="J434">
        <f t="shared" si="103"/>
        <v>770.00000000000011</v>
      </c>
      <c r="K434" s="7" t="s">
        <v>1025</v>
      </c>
    </row>
    <row r="435" spans="1:11">
      <c r="B435" t="s">
        <v>986</v>
      </c>
      <c r="C435" t="s">
        <v>994</v>
      </c>
      <c r="E435" s="7">
        <v>260</v>
      </c>
      <c r="F435">
        <f t="shared" si="100"/>
        <v>364</v>
      </c>
      <c r="G435">
        <f t="shared" si="101"/>
        <v>400.40000000000003</v>
      </c>
      <c r="H435" s="7">
        <v>4999</v>
      </c>
      <c r="I435">
        <f t="shared" si="102"/>
        <v>6998.5999999999995</v>
      </c>
      <c r="J435">
        <f t="shared" si="103"/>
        <v>7698.46</v>
      </c>
      <c r="K435" s="7" t="s">
        <v>1017</v>
      </c>
    </row>
    <row r="436" spans="1:11">
      <c r="B436" t="s">
        <v>986</v>
      </c>
      <c r="C436" t="s">
        <v>991</v>
      </c>
      <c r="E436" s="7">
        <v>11</v>
      </c>
      <c r="F436">
        <f t="shared" si="100"/>
        <v>15.399999999999999</v>
      </c>
      <c r="G436">
        <f t="shared" si="101"/>
        <v>16.940000000000001</v>
      </c>
      <c r="H436" s="7">
        <v>80</v>
      </c>
      <c r="I436">
        <f t="shared" si="102"/>
        <v>112</v>
      </c>
      <c r="J436">
        <f t="shared" si="103"/>
        <v>123.20000000000002</v>
      </c>
      <c r="K436" s="7" t="s">
        <v>1014</v>
      </c>
    </row>
    <row r="437" spans="1:11">
      <c r="F437">
        <f t="shared" si="88"/>
        <v>0</v>
      </c>
      <c r="G437">
        <f t="shared" si="89"/>
        <v>0</v>
      </c>
      <c r="I437">
        <f t="shared" si="90"/>
        <v>0</v>
      </c>
      <c r="J437">
        <f t="shared" si="91"/>
        <v>0</v>
      </c>
    </row>
    <row r="438" spans="1:11">
      <c r="B438" t="s">
        <v>1004</v>
      </c>
      <c r="C438" t="s">
        <v>1035</v>
      </c>
      <c r="D438" s="3" t="s">
        <v>1031</v>
      </c>
      <c r="E438" s="7">
        <v>80</v>
      </c>
      <c r="F438">
        <f t="shared" si="88"/>
        <v>112</v>
      </c>
      <c r="G438">
        <f t="shared" si="89"/>
        <v>123.20000000000002</v>
      </c>
      <c r="H438" s="7">
        <v>523</v>
      </c>
      <c r="I438">
        <f t="shared" si="90"/>
        <v>732.19999999999993</v>
      </c>
      <c r="J438">
        <f t="shared" si="91"/>
        <v>805.42</v>
      </c>
      <c r="K438" s="7" t="s">
        <v>1032</v>
      </c>
    </row>
    <row r="439" spans="1:11">
      <c r="F439">
        <f t="shared" ref="F439:F504" si="104">E439*1.4</f>
        <v>0</v>
      </c>
      <c r="G439">
        <f t="shared" ref="G439:G504" si="105">F439*1.1</f>
        <v>0</v>
      </c>
      <c r="I439">
        <f t="shared" ref="I439:I504" si="106">H439*1.4</f>
        <v>0</v>
      </c>
      <c r="J439">
        <f t="shared" ref="J439:J504" si="107">I439*1.1</f>
        <v>0</v>
      </c>
    </row>
    <row r="440" spans="1:11">
      <c r="B440" t="s">
        <v>1005</v>
      </c>
      <c r="C440" t="s">
        <v>1033</v>
      </c>
      <c r="D440" s="3" t="s">
        <v>1034</v>
      </c>
      <c r="E440" s="7">
        <v>20</v>
      </c>
      <c r="F440">
        <f>E440*1.4</f>
        <v>28</v>
      </c>
      <c r="G440">
        <f>F440*1.1</f>
        <v>30.800000000000004</v>
      </c>
      <c r="H440" s="7">
        <v>350</v>
      </c>
      <c r="I440">
        <f>H440*1.4</f>
        <v>489.99999999999994</v>
      </c>
      <c r="J440">
        <f>I440*1.1</f>
        <v>539</v>
      </c>
      <c r="K440" s="7" t="s">
        <v>1042</v>
      </c>
    </row>
    <row r="441" spans="1:11">
      <c r="B441" t="s">
        <v>1005</v>
      </c>
      <c r="C441" t="s">
        <v>1036</v>
      </c>
      <c r="F441">
        <f>E441*1.4</f>
        <v>0</v>
      </c>
      <c r="G441">
        <f>F441*1.1</f>
        <v>0</v>
      </c>
      <c r="H441" s="7">
        <v>300</v>
      </c>
      <c r="I441">
        <f>H441*1.4</f>
        <v>420</v>
      </c>
      <c r="J441">
        <f>I441*1.1</f>
        <v>462.00000000000006</v>
      </c>
      <c r="K441" s="7" t="s">
        <v>1041</v>
      </c>
    </row>
    <row r="442" spans="1:11">
      <c r="F442">
        <f t="shared" si="104"/>
        <v>0</v>
      </c>
      <c r="G442">
        <f t="shared" si="105"/>
        <v>0</v>
      </c>
      <c r="I442">
        <f t="shared" si="106"/>
        <v>0</v>
      </c>
      <c r="J442">
        <f t="shared" si="107"/>
        <v>0</v>
      </c>
    </row>
    <row r="443" spans="1:11">
      <c r="B443" t="s">
        <v>1006</v>
      </c>
      <c r="C443" t="s">
        <v>1037</v>
      </c>
      <c r="E443" s="7">
        <v>27</v>
      </c>
      <c r="F443">
        <f>E443*1.4</f>
        <v>37.799999999999997</v>
      </c>
      <c r="G443">
        <f>F443*1.1</f>
        <v>41.58</v>
      </c>
      <c r="H443" s="7">
        <v>900</v>
      </c>
      <c r="I443">
        <f>H443*1.4</f>
        <v>1260</v>
      </c>
      <c r="J443">
        <f>I443*1.1</f>
        <v>1386</v>
      </c>
      <c r="K443" s="7" t="s">
        <v>1043</v>
      </c>
    </row>
    <row r="444" spans="1:11">
      <c r="B444" t="s">
        <v>1006</v>
      </c>
      <c r="C444" t="s">
        <v>1038</v>
      </c>
      <c r="E444" s="7">
        <v>50</v>
      </c>
      <c r="F444">
        <f>E444*1.4</f>
        <v>70</v>
      </c>
      <c r="G444">
        <f>F444*1.1</f>
        <v>77</v>
      </c>
      <c r="H444" s="7">
        <v>999</v>
      </c>
      <c r="I444">
        <f>H444*1.4</f>
        <v>1398.6</v>
      </c>
      <c r="J444">
        <f>I444*1.1</f>
        <v>1538.46</v>
      </c>
      <c r="K444" s="7" t="s">
        <v>1044</v>
      </c>
    </row>
    <row r="445" spans="1:11">
      <c r="B445" t="s">
        <v>1006</v>
      </c>
      <c r="C445" t="s">
        <v>1040</v>
      </c>
      <c r="D445" s="3" t="s">
        <v>1046</v>
      </c>
      <c r="E445" s="7">
        <v>31</v>
      </c>
      <c r="F445">
        <f>E445*1.4</f>
        <v>43.4</v>
      </c>
      <c r="G445">
        <f>F445*1.1</f>
        <v>47.74</v>
      </c>
      <c r="H445" s="7">
        <v>915</v>
      </c>
      <c r="I445">
        <f>H445*1.4</f>
        <v>1281</v>
      </c>
      <c r="J445">
        <f>I445*1.1</f>
        <v>1409.1000000000001</v>
      </c>
      <c r="K445" s="7" t="s">
        <v>1047</v>
      </c>
    </row>
    <row r="446" spans="1:11">
      <c r="B446" t="s">
        <v>1006</v>
      </c>
      <c r="C446" t="s">
        <v>1039</v>
      </c>
      <c r="E446" s="7">
        <v>8</v>
      </c>
      <c r="F446">
        <f>E446*1.4</f>
        <v>11.2</v>
      </c>
      <c r="G446">
        <f>F446*1.1</f>
        <v>12.32</v>
      </c>
      <c r="H446" s="7">
        <v>107</v>
      </c>
      <c r="I446">
        <f>H446*1.4</f>
        <v>149.79999999999998</v>
      </c>
      <c r="J446">
        <f>I446*1.1</f>
        <v>164.78</v>
      </c>
      <c r="K446" s="7" t="s">
        <v>1045</v>
      </c>
    </row>
    <row r="447" spans="1:11">
      <c r="F447">
        <f t="shared" si="104"/>
        <v>0</v>
      </c>
      <c r="G447">
        <f t="shared" si="105"/>
        <v>0</v>
      </c>
      <c r="I447">
        <f t="shared" si="106"/>
        <v>0</v>
      </c>
      <c r="J447">
        <f t="shared" si="107"/>
        <v>0</v>
      </c>
    </row>
    <row r="448" spans="1:11" ht="23.25">
      <c r="A448" s="1" t="s">
        <v>1048</v>
      </c>
      <c r="F448">
        <f t="shared" si="104"/>
        <v>0</v>
      </c>
      <c r="G448">
        <f t="shared" si="105"/>
        <v>0</v>
      </c>
      <c r="I448">
        <f t="shared" si="106"/>
        <v>0</v>
      </c>
      <c r="J448">
        <f t="shared" si="107"/>
        <v>0</v>
      </c>
    </row>
    <row r="449" spans="1:11">
      <c r="A449" t="s">
        <v>1539</v>
      </c>
      <c r="B449" t="s">
        <v>1049</v>
      </c>
      <c r="C449" t="s">
        <v>1050</v>
      </c>
      <c r="D449" s="3" t="s">
        <v>1071</v>
      </c>
      <c r="E449" s="7">
        <v>150</v>
      </c>
      <c r="F449">
        <f t="shared" si="104"/>
        <v>210</v>
      </c>
      <c r="G449">
        <f t="shared" si="105"/>
        <v>231.00000000000003</v>
      </c>
      <c r="H449" s="7">
        <v>5605</v>
      </c>
      <c r="I449">
        <f t="shared" si="106"/>
        <v>7846.9999999999991</v>
      </c>
      <c r="J449">
        <f t="shared" si="107"/>
        <v>8631.6999999999989</v>
      </c>
      <c r="K449" s="7" t="s">
        <v>1072</v>
      </c>
    </row>
    <row r="450" spans="1:11">
      <c r="F450">
        <f t="shared" si="104"/>
        <v>0</v>
      </c>
      <c r="G450">
        <f t="shared" si="105"/>
        <v>0</v>
      </c>
      <c r="I450">
        <f t="shared" si="106"/>
        <v>0</v>
      </c>
      <c r="J450">
        <f t="shared" si="107"/>
        <v>0</v>
      </c>
    </row>
    <row r="451" spans="1:11">
      <c r="B451" t="s">
        <v>1051</v>
      </c>
      <c r="C451" t="s">
        <v>1052</v>
      </c>
      <c r="D451" s="3" t="s">
        <v>1073</v>
      </c>
      <c r="E451" s="7">
        <v>150</v>
      </c>
      <c r="F451">
        <f t="shared" si="104"/>
        <v>210</v>
      </c>
      <c r="G451">
        <f t="shared" si="105"/>
        <v>231.00000000000003</v>
      </c>
      <c r="H451" s="7">
        <v>800</v>
      </c>
      <c r="I451">
        <f t="shared" si="106"/>
        <v>1120</v>
      </c>
      <c r="J451">
        <f t="shared" si="107"/>
        <v>1232</v>
      </c>
      <c r="K451" s="7" t="s">
        <v>1074</v>
      </c>
    </row>
    <row r="452" spans="1:11">
      <c r="F452">
        <f t="shared" si="104"/>
        <v>0</v>
      </c>
      <c r="G452">
        <f t="shared" si="105"/>
        <v>0</v>
      </c>
      <c r="I452">
        <f t="shared" si="106"/>
        <v>0</v>
      </c>
      <c r="J452">
        <f t="shared" si="107"/>
        <v>0</v>
      </c>
    </row>
    <row r="453" spans="1:11">
      <c r="B453" t="s">
        <v>1053</v>
      </c>
      <c r="C453" t="s">
        <v>1054</v>
      </c>
      <c r="E453" s="7">
        <v>175</v>
      </c>
      <c r="F453">
        <f t="shared" si="104"/>
        <v>244.99999999999997</v>
      </c>
      <c r="G453">
        <f t="shared" si="105"/>
        <v>269.5</v>
      </c>
      <c r="H453" s="7">
        <v>1000</v>
      </c>
      <c r="I453">
        <f t="shared" si="106"/>
        <v>1400</v>
      </c>
      <c r="J453">
        <f t="shared" si="107"/>
        <v>1540.0000000000002</v>
      </c>
      <c r="K453" s="7" t="s">
        <v>1075</v>
      </c>
    </row>
    <row r="454" spans="1:11">
      <c r="F454">
        <f t="shared" si="104"/>
        <v>0</v>
      </c>
      <c r="G454">
        <f t="shared" si="105"/>
        <v>0</v>
      </c>
      <c r="I454">
        <f t="shared" si="106"/>
        <v>0</v>
      </c>
      <c r="J454">
        <f t="shared" si="107"/>
        <v>0</v>
      </c>
    </row>
    <row r="455" spans="1:11">
      <c r="B455" t="s">
        <v>1055</v>
      </c>
      <c r="C455" t="s">
        <v>1056</v>
      </c>
      <c r="D455" s="3" t="s">
        <v>1077</v>
      </c>
      <c r="E455" s="7">
        <v>45</v>
      </c>
      <c r="F455">
        <f>E455*1.4</f>
        <v>62.999999999999993</v>
      </c>
      <c r="G455">
        <f>F455*1.1</f>
        <v>69.3</v>
      </c>
      <c r="H455" s="7">
        <v>1000</v>
      </c>
      <c r="I455">
        <f>H455*1.4</f>
        <v>1400</v>
      </c>
      <c r="J455">
        <f>I455*1.1</f>
        <v>1540.0000000000002</v>
      </c>
      <c r="K455" s="7" t="s">
        <v>1078</v>
      </c>
    </row>
    <row r="456" spans="1:11">
      <c r="B456" t="s">
        <v>1055</v>
      </c>
      <c r="C456" t="s">
        <v>1057</v>
      </c>
      <c r="E456" s="7">
        <v>225</v>
      </c>
      <c r="F456">
        <f>E456*1.4</f>
        <v>315</v>
      </c>
      <c r="G456">
        <f>F456*1.1</f>
        <v>346.5</v>
      </c>
      <c r="H456" s="7">
        <v>2600</v>
      </c>
      <c r="I456">
        <f>H456*1.4</f>
        <v>3639.9999999999995</v>
      </c>
      <c r="J456">
        <f>I456*1.1</f>
        <v>4004</v>
      </c>
      <c r="K456" s="7" t="s">
        <v>1076</v>
      </c>
    </row>
    <row r="457" spans="1:11">
      <c r="F457">
        <f t="shared" si="104"/>
        <v>0</v>
      </c>
      <c r="G457">
        <f t="shared" si="105"/>
        <v>0</v>
      </c>
      <c r="I457">
        <f t="shared" si="106"/>
        <v>0</v>
      </c>
      <c r="J457">
        <f t="shared" si="107"/>
        <v>0</v>
      </c>
    </row>
    <row r="458" spans="1:11">
      <c r="B458" t="s">
        <v>1058</v>
      </c>
      <c r="C458" t="s">
        <v>1062</v>
      </c>
      <c r="E458" s="7">
        <v>75</v>
      </c>
      <c r="F458">
        <f t="shared" ref="F458:F469" si="108">E458*1.4</f>
        <v>105</v>
      </c>
      <c r="G458">
        <f t="shared" ref="G458:G469" si="109">F458*1.1</f>
        <v>115.50000000000001</v>
      </c>
      <c r="H458" s="7">
        <v>5760</v>
      </c>
      <c r="I458">
        <f t="shared" ref="I458:I469" si="110">H458*1.4</f>
        <v>8063.9999999999991</v>
      </c>
      <c r="J458">
        <f t="shared" ref="J458:J469" si="111">I458*1.1</f>
        <v>8870.4</v>
      </c>
      <c r="K458" s="7" t="s">
        <v>1082</v>
      </c>
    </row>
    <row r="459" spans="1:11">
      <c r="B459" t="s">
        <v>1058</v>
      </c>
      <c r="C459" t="s">
        <v>1065</v>
      </c>
      <c r="F459">
        <f t="shared" si="108"/>
        <v>0</v>
      </c>
      <c r="G459">
        <f t="shared" si="109"/>
        <v>0</v>
      </c>
      <c r="H459" s="7">
        <v>248</v>
      </c>
      <c r="I459">
        <f t="shared" si="110"/>
        <v>347.2</v>
      </c>
      <c r="J459">
        <f t="shared" si="111"/>
        <v>381.92</v>
      </c>
      <c r="K459" s="7" t="s">
        <v>1086</v>
      </c>
    </row>
    <row r="460" spans="1:11">
      <c r="B460" t="s">
        <v>1058</v>
      </c>
      <c r="C460" t="s">
        <v>1061</v>
      </c>
      <c r="E460" s="7">
        <v>190</v>
      </c>
      <c r="F460">
        <f t="shared" si="108"/>
        <v>266</v>
      </c>
      <c r="G460">
        <f t="shared" si="109"/>
        <v>292.60000000000002</v>
      </c>
      <c r="H460" s="7">
        <v>2000</v>
      </c>
      <c r="I460">
        <f t="shared" si="110"/>
        <v>2800</v>
      </c>
      <c r="J460">
        <f t="shared" si="111"/>
        <v>3080.0000000000005</v>
      </c>
    </row>
    <row r="461" spans="1:11">
      <c r="B461" t="s">
        <v>1058</v>
      </c>
      <c r="C461" t="s">
        <v>1064</v>
      </c>
      <c r="E461" s="7">
        <v>35</v>
      </c>
      <c r="F461">
        <f t="shared" si="108"/>
        <v>49</v>
      </c>
      <c r="G461">
        <f t="shared" si="109"/>
        <v>53.900000000000006</v>
      </c>
      <c r="H461" s="7">
        <v>550</v>
      </c>
      <c r="I461">
        <f t="shared" si="110"/>
        <v>770</v>
      </c>
      <c r="J461">
        <f t="shared" si="111"/>
        <v>847.00000000000011</v>
      </c>
      <c r="K461" s="7" t="s">
        <v>1084</v>
      </c>
    </row>
    <row r="462" spans="1:11">
      <c r="B462" t="s">
        <v>1058</v>
      </c>
      <c r="C462" t="s">
        <v>1060</v>
      </c>
      <c r="D462" s="3" t="s">
        <v>1079</v>
      </c>
      <c r="E462" s="7">
        <v>35</v>
      </c>
      <c r="F462">
        <f t="shared" si="108"/>
        <v>49</v>
      </c>
      <c r="G462">
        <f t="shared" si="109"/>
        <v>53.900000000000006</v>
      </c>
      <c r="H462" s="7">
        <v>1000</v>
      </c>
      <c r="I462">
        <f t="shared" si="110"/>
        <v>1400</v>
      </c>
      <c r="J462">
        <f t="shared" si="111"/>
        <v>1540.0000000000002</v>
      </c>
      <c r="K462" s="7" t="s">
        <v>1081</v>
      </c>
    </row>
    <row r="463" spans="1:11">
      <c r="B463" t="s">
        <v>1058</v>
      </c>
      <c r="C463" t="s">
        <v>1067</v>
      </c>
      <c r="D463" s="3" t="s">
        <v>1079</v>
      </c>
      <c r="E463" s="7">
        <v>40</v>
      </c>
      <c r="F463">
        <f t="shared" si="108"/>
        <v>56</v>
      </c>
      <c r="G463">
        <f t="shared" si="109"/>
        <v>61.600000000000009</v>
      </c>
      <c r="H463" s="7">
        <v>2000</v>
      </c>
      <c r="I463">
        <f t="shared" si="110"/>
        <v>2800</v>
      </c>
      <c r="J463">
        <f t="shared" si="111"/>
        <v>3080.0000000000005</v>
      </c>
      <c r="K463" s="7" t="s">
        <v>1087</v>
      </c>
    </row>
    <row r="464" spans="1:11">
      <c r="B464" t="s">
        <v>1058</v>
      </c>
      <c r="C464" t="s">
        <v>1059</v>
      </c>
      <c r="D464" s="3" t="s">
        <v>1079</v>
      </c>
      <c r="E464" s="7">
        <v>50</v>
      </c>
      <c r="F464">
        <f t="shared" si="108"/>
        <v>70</v>
      </c>
      <c r="G464">
        <f t="shared" si="109"/>
        <v>77</v>
      </c>
      <c r="H464" s="7">
        <v>1800</v>
      </c>
      <c r="I464">
        <f t="shared" si="110"/>
        <v>2520</v>
      </c>
      <c r="J464">
        <f t="shared" si="111"/>
        <v>2772</v>
      </c>
      <c r="K464" s="7" t="s">
        <v>1080</v>
      </c>
    </row>
    <row r="465" spans="1:11">
      <c r="B465" t="s">
        <v>1058</v>
      </c>
      <c r="C465" t="s">
        <v>1066</v>
      </c>
      <c r="F465">
        <f t="shared" si="108"/>
        <v>0</v>
      </c>
      <c r="G465">
        <f t="shared" si="109"/>
        <v>0</v>
      </c>
      <c r="H465" s="7">
        <v>572</v>
      </c>
      <c r="I465">
        <f t="shared" si="110"/>
        <v>800.8</v>
      </c>
      <c r="J465">
        <f t="shared" si="111"/>
        <v>880.88</v>
      </c>
      <c r="K465" s="7" t="s">
        <v>1085</v>
      </c>
    </row>
    <row r="466" spans="1:11">
      <c r="B466" t="s">
        <v>1058</v>
      </c>
      <c r="C466" t="s">
        <v>1070</v>
      </c>
      <c r="D466" s="3" t="s">
        <v>1092</v>
      </c>
      <c r="E466" s="7">
        <v>27</v>
      </c>
      <c r="F466">
        <f t="shared" si="108"/>
        <v>37.799999999999997</v>
      </c>
      <c r="G466">
        <f t="shared" si="109"/>
        <v>41.58</v>
      </c>
      <c r="H466" s="7">
        <v>1000</v>
      </c>
      <c r="I466">
        <f t="shared" si="110"/>
        <v>1400</v>
      </c>
      <c r="J466">
        <f t="shared" si="111"/>
        <v>1540.0000000000002</v>
      </c>
    </row>
    <row r="467" spans="1:11">
      <c r="B467" t="s">
        <v>1058</v>
      </c>
      <c r="C467" t="s">
        <v>1068</v>
      </c>
      <c r="D467" s="3" t="s">
        <v>1088</v>
      </c>
      <c r="E467" s="7">
        <v>195</v>
      </c>
      <c r="F467">
        <f t="shared" si="108"/>
        <v>273</v>
      </c>
      <c r="G467">
        <f t="shared" si="109"/>
        <v>300.3</v>
      </c>
      <c r="H467" s="7">
        <v>9000</v>
      </c>
      <c r="I467">
        <f t="shared" si="110"/>
        <v>12600</v>
      </c>
      <c r="J467">
        <f t="shared" si="111"/>
        <v>13860.000000000002</v>
      </c>
      <c r="K467" s="7" t="s">
        <v>1089</v>
      </c>
    </row>
    <row r="468" spans="1:11">
      <c r="B468" t="s">
        <v>1058</v>
      </c>
      <c r="C468" t="s">
        <v>1069</v>
      </c>
      <c r="D468" s="3" t="s">
        <v>1090</v>
      </c>
      <c r="E468" s="7">
        <v>15</v>
      </c>
      <c r="F468">
        <f t="shared" si="108"/>
        <v>21</v>
      </c>
      <c r="G468">
        <f t="shared" si="109"/>
        <v>23.1</v>
      </c>
      <c r="H468" s="7">
        <v>350</v>
      </c>
      <c r="I468">
        <f t="shared" si="110"/>
        <v>489.99999999999994</v>
      </c>
      <c r="J468">
        <f t="shared" si="111"/>
        <v>539</v>
      </c>
      <c r="K468" s="7" t="s">
        <v>1091</v>
      </c>
    </row>
    <row r="469" spans="1:11">
      <c r="B469" t="s">
        <v>1058</v>
      </c>
      <c r="C469" t="s">
        <v>1063</v>
      </c>
      <c r="E469" s="7">
        <v>35</v>
      </c>
      <c r="F469">
        <f t="shared" si="108"/>
        <v>49</v>
      </c>
      <c r="G469">
        <f t="shared" si="109"/>
        <v>53.900000000000006</v>
      </c>
      <c r="H469" s="7">
        <v>3000</v>
      </c>
      <c r="I469">
        <f t="shared" si="110"/>
        <v>4200</v>
      </c>
      <c r="J469">
        <f t="shared" si="111"/>
        <v>4620</v>
      </c>
      <c r="K469" s="7" t="s">
        <v>1083</v>
      </c>
    </row>
    <row r="470" spans="1:11">
      <c r="F470">
        <f t="shared" si="104"/>
        <v>0</v>
      </c>
      <c r="G470">
        <f t="shared" si="105"/>
        <v>0</v>
      </c>
      <c r="I470">
        <f t="shared" si="106"/>
        <v>0</v>
      </c>
      <c r="J470">
        <f t="shared" si="107"/>
        <v>0</v>
      </c>
    </row>
    <row r="471" spans="1:11" ht="23.25">
      <c r="A471" s="1" t="s">
        <v>1093</v>
      </c>
      <c r="F471">
        <f t="shared" si="104"/>
        <v>0</v>
      </c>
      <c r="G471">
        <f t="shared" si="105"/>
        <v>0</v>
      </c>
      <c r="I471">
        <f t="shared" si="106"/>
        <v>0</v>
      </c>
      <c r="J471">
        <f t="shared" si="107"/>
        <v>0</v>
      </c>
    </row>
    <row r="472" spans="1:11">
      <c r="A472" t="s">
        <v>1539</v>
      </c>
      <c r="B472" t="s">
        <v>1094</v>
      </c>
      <c r="C472" t="s">
        <v>1095</v>
      </c>
      <c r="D472" s="3" t="s">
        <v>1116</v>
      </c>
      <c r="E472" s="7">
        <v>20</v>
      </c>
      <c r="F472">
        <f t="shared" si="104"/>
        <v>28</v>
      </c>
      <c r="G472">
        <f t="shared" si="105"/>
        <v>30.800000000000004</v>
      </c>
      <c r="H472" s="7">
        <v>142</v>
      </c>
      <c r="I472">
        <f t="shared" si="106"/>
        <v>198.79999999999998</v>
      </c>
      <c r="J472">
        <f t="shared" si="107"/>
        <v>218.68</v>
      </c>
      <c r="K472" s="7" t="s">
        <v>1117</v>
      </c>
    </row>
    <row r="473" spans="1:11">
      <c r="F473">
        <f t="shared" si="104"/>
        <v>0</v>
      </c>
      <c r="G473">
        <f t="shared" si="105"/>
        <v>0</v>
      </c>
      <c r="I473">
        <f t="shared" si="106"/>
        <v>0</v>
      </c>
      <c r="J473">
        <f t="shared" si="107"/>
        <v>0</v>
      </c>
    </row>
    <row r="474" spans="1:11">
      <c r="B474" t="s">
        <v>1096</v>
      </c>
      <c r="C474" t="s">
        <v>1097</v>
      </c>
      <c r="E474" s="7">
        <v>50</v>
      </c>
      <c r="F474">
        <f t="shared" si="104"/>
        <v>70</v>
      </c>
      <c r="G474">
        <f t="shared" si="105"/>
        <v>77</v>
      </c>
      <c r="H474" s="7">
        <v>900</v>
      </c>
      <c r="I474">
        <f t="shared" si="106"/>
        <v>1260</v>
      </c>
      <c r="J474">
        <f t="shared" si="107"/>
        <v>1386</v>
      </c>
      <c r="K474" s="7" t="s">
        <v>1118</v>
      </c>
    </row>
    <row r="475" spans="1:11">
      <c r="F475">
        <f t="shared" si="104"/>
        <v>0</v>
      </c>
      <c r="G475">
        <f t="shared" si="105"/>
        <v>0</v>
      </c>
      <c r="I475">
        <f t="shared" si="106"/>
        <v>0</v>
      </c>
      <c r="J475">
        <f t="shared" si="107"/>
        <v>0</v>
      </c>
    </row>
    <row r="476" spans="1:11">
      <c r="B476" t="s">
        <v>1098</v>
      </c>
      <c r="C476" t="s">
        <v>1105</v>
      </c>
      <c r="E476" s="7">
        <v>25</v>
      </c>
      <c r="F476">
        <f t="shared" si="104"/>
        <v>35</v>
      </c>
      <c r="G476">
        <f t="shared" si="105"/>
        <v>38.5</v>
      </c>
      <c r="H476" s="7">
        <v>1300</v>
      </c>
      <c r="I476">
        <f t="shared" si="106"/>
        <v>1819.9999999999998</v>
      </c>
      <c r="J476">
        <f t="shared" si="107"/>
        <v>2002</v>
      </c>
    </row>
    <row r="477" spans="1:11">
      <c r="B477" t="s">
        <v>1098</v>
      </c>
      <c r="C477" t="s">
        <v>1106</v>
      </c>
      <c r="E477" s="7">
        <v>70</v>
      </c>
      <c r="F477">
        <f t="shared" si="104"/>
        <v>98</v>
      </c>
      <c r="G477">
        <f t="shared" si="105"/>
        <v>107.80000000000001</v>
      </c>
      <c r="H477" s="7">
        <v>1320</v>
      </c>
      <c r="I477">
        <f t="shared" si="106"/>
        <v>1847.9999999999998</v>
      </c>
      <c r="J477">
        <f t="shared" si="107"/>
        <v>2032.8</v>
      </c>
      <c r="K477" s="7" t="s">
        <v>1119</v>
      </c>
    </row>
    <row r="478" spans="1:11">
      <c r="B478" t="s">
        <v>1098</v>
      </c>
      <c r="C478" t="s">
        <v>1107</v>
      </c>
      <c r="E478" s="7">
        <v>30</v>
      </c>
      <c r="F478">
        <f t="shared" si="104"/>
        <v>42</v>
      </c>
      <c r="G478">
        <f t="shared" si="105"/>
        <v>46.2</v>
      </c>
      <c r="H478" s="7">
        <v>700</v>
      </c>
      <c r="I478">
        <f t="shared" si="106"/>
        <v>979.99999999999989</v>
      </c>
      <c r="J478">
        <f t="shared" si="107"/>
        <v>1078</v>
      </c>
      <c r="K478" s="7" t="s">
        <v>1120</v>
      </c>
    </row>
    <row r="479" spans="1:11" ht="15" customHeight="1">
      <c r="B479" t="s">
        <v>1098</v>
      </c>
      <c r="C479" t="s">
        <v>1108</v>
      </c>
      <c r="D479" s="4" t="s">
        <v>1121</v>
      </c>
      <c r="E479" s="7">
        <v>25</v>
      </c>
      <c r="F479">
        <f t="shared" si="104"/>
        <v>35</v>
      </c>
      <c r="G479">
        <f t="shared" si="105"/>
        <v>38.5</v>
      </c>
      <c r="H479" s="7">
        <v>999</v>
      </c>
      <c r="I479">
        <f t="shared" si="106"/>
        <v>1398.6</v>
      </c>
      <c r="J479">
        <f t="shared" si="107"/>
        <v>1538.46</v>
      </c>
    </row>
    <row r="480" spans="1:11">
      <c r="B480" t="s">
        <v>1098</v>
      </c>
      <c r="C480" t="s">
        <v>1109</v>
      </c>
      <c r="E480" s="7">
        <v>85</v>
      </c>
      <c r="F480">
        <f t="shared" si="104"/>
        <v>118.99999999999999</v>
      </c>
      <c r="G480">
        <f t="shared" si="105"/>
        <v>130.9</v>
      </c>
      <c r="H480" s="7">
        <v>1500</v>
      </c>
      <c r="I480">
        <f t="shared" si="106"/>
        <v>2100</v>
      </c>
      <c r="J480">
        <f t="shared" si="107"/>
        <v>2310</v>
      </c>
      <c r="K480" s="7" t="s">
        <v>1122</v>
      </c>
    </row>
    <row r="481" spans="1:11">
      <c r="B481" t="s">
        <v>1098</v>
      </c>
      <c r="C481" t="s">
        <v>1110</v>
      </c>
      <c r="E481" s="7">
        <v>40</v>
      </c>
      <c r="F481">
        <f t="shared" si="104"/>
        <v>56</v>
      </c>
      <c r="G481">
        <f t="shared" si="105"/>
        <v>61.600000000000009</v>
      </c>
      <c r="H481" s="7">
        <v>500</v>
      </c>
      <c r="I481">
        <f t="shared" si="106"/>
        <v>700</v>
      </c>
      <c r="J481">
        <f t="shared" si="107"/>
        <v>770.00000000000011</v>
      </c>
      <c r="K481" s="7" t="s">
        <v>1123</v>
      </c>
    </row>
    <row r="482" spans="1:11">
      <c r="B482" t="s">
        <v>1098</v>
      </c>
      <c r="C482" t="s">
        <v>1111</v>
      </c>
      <c r="D482" s="3" t="s">
        <v>1124</v>
      </c>
      <c r="E482" s="7">
        <v>50</v>
      </c>
      <c r="F482">
        <f t="shared" si="104"/>
        <v>70</v>
      </c>
      <c r="G482">
        <f t="shared" si="105"/>
        <v>77</v>
      </c>
      <c r="H482" s="7">
        <v>300</v>
      </c>
      <c r="I482">
        <f t="shared" si="106"/>
        <v>420</v>
      </c>
      <c r="J482">
        <f t="shared" si="107"/>
        <v>462.00000000000006</v>
      </c>
      <c r="K482" s="7" t="s">
        <v>1125</v>
      </c>
    </row>
    <row r="483" spans="1:11">
      <c r="B483" t="s">
        <v>1098</v>
      </c>
      <c r="C483" t="s">
        <v>1112</v>
      </c>
      <c r="D483" s="3" t="s">
        <v>1126</v>
      </c>
      <c r="E483" s="7">
        <v>40</v>
      </c>
      <c r="F483">
        <f t="shared" si="104"/>
        <v>56</v>
      </c>
      <c r="G483">
        <f t="shared" si="105"/>
        <v>61.600000000000009</v>
      </c>
      <c r="H483" s="7">
        <v>550</v>
      </c>
      <c r="I483">
        <f t="shared" si="106"/>
        <v>770</v>
      </c>
      <c r="J483">
        <f t="shared" si="107"/>
        <v>847.00000000000011</v>
      </c>
      <c r="K483" s="7" t="s">
        <v>1127</v>
      </c>
    </row>
    <row r="484" spans="1:11">
      <c r="B484" t="s">
        <v>1098</v>
      </c>
      <c r="C484" t="s">
        <v>1113</v>
      </c>
      <c r="D484" s="3" t="s">
        <v>1128</v>
      </c>
      <c r="E484" s="7">
        <v>65</v>
      </c>
      <c r="F484">
        <f t="shared" si="104"/>
        <v>91</v>
      </c>
      <c r="G484">
        <f t="shared" si="105"/>
        <v>100.10000000000001</v>
      </c>
      <c r="H484" s="7">
        <v>800</v>
      </c>
      <c r="I484">
        <f t="shared" si="106"/>
        <v>1120</v>
      </c>
      <c r="J484">
        <f t="shared" si="107"/>
        <v>1232</v>
      </c>
      <c r="K484" s="7" t="s">
        <v>1129</v>
      </c>
    </row>
    <row r="485" spans="1:11">
      <c r="B485" t="s">
        <v>1098</v>
      </c>
      <c r="C485" t="s">
        <v>1114</v>
      </c>
      <c r="D485" s="3" t="s">
        <v>1130</v>
      </c>
      <c r="E485" s="7">
        <v>73</v>
      </c>
      <c r="F485">
        <f t="shared" ref="F485" si="112">E485*1.4</f>
        <v>102.19999999999999</v>
      </c>
      <c r="G485">
        <f t="shared" ref="G485" si="113">F485*1.1</f>
        <v>112.42</v>
      </c>
      <c r="H485" s="7">
        <v>700</v>
      </c>
      <c r="I485">
        <f t="shared" ref="I485" si="114">H485*1.4</f>
        <v>979.99999999999989</v>
      </c>
      <c r="J485">
        <f t="shared" ref="J485" si="115">I485*1.1</f>
        <v>1078</v>
      </c>
      <c r="K485" s="7" t="s">
        <v>1131</v>
      </c>
    </row>
    <row r="486" spans="1:11">
      <c r="B486" t="s">
        <v>1098</v>
      </c>
      <c r="C486" t="s">
        <v>1115</v>
      </c>
      <c r="D486" s="3"/>
      <c r="E486" s="7">
        <v>100</v>
      </c>
      <c r="F486">
        <f t="shared" si="104"/>
        <v>140</v>
      </c>
      <c r="G486">
        <f t="shared" si="105"/>
        <v>154</v>
      </c>
      <c r="H486" s="7">
        <v>650</v>
      </c>
      <c r="I486">
        <f t="shared" si="106"/>
        <v>909.99999999999989</v>
      </c>
      <c r="J486">
        <f t="shared" si="107"/>
        <v>1001</v>
      </c>
      <c r="K486" s="7" t="s">
        <v>1132</v>
      </c>
    </row>
    <row r="487" spans="1:11">
      <c r="F487">
        <f t="shared" si="104"/>
        <v>0</v>
      </c>
      <c r="G487">
        <f t="shared" si="105"/>
        <v>0</v>
      </c>
      <c r="I487">
        <f t="shared" si="106"/>
        <v>0</v>
      </c>
      <c r="J487">
        <f t="shared" si="107"/>
        <v>0</v>
      </c>
    </row>
    <row r="488" spans="1:11">
      <c r="B488" t="s">
        <v>1099</v>
      </c>
      <c r="C488" t="s">
        <v>1100</v>
      </c>
      <c r="E488" s="7">
        <v>60</v>
      </c>
      <c r="F488">
        <f t="shared" si="104"/>
        <v>84</v>
      </c>
      <c r="G488">
        <f t="shared" si="105"/>
        <v>92.4</v>
      </c>
      <c r="H488" s="7">
        <v>410</v>
      </c>
      <c r="I488">
        <f t="shared" si="106"/>
        <v>574</v>
      </c>
      <c r="J488">
        <f t="shared" si="107"/>
        <v>631.40000000000009</v>
      </c>
      <c r="K488" s="7" t="s">
        <v>1133</v>
      </c>
    </row>
    <row r="489" spans="1:11">
      <c r="B489" t="s">
        <v>1099</v>
      </c>
      <c r="C489" t="s">
        <v>1101</v>
      </c>
      <c r="E489" s="7">
        <v>5</v>
      </c>
      <c r="F489">
        <f t="shared" si="104"/>
        <v>7</v>
      </c>
      <c r="G489">
        <f t="shared" si="105"/>
        <v>7.7000000000000011</v>
      </c>
      <c r="H489" s="7">
        <v>47</v>
      </c>
      <c r="I489">
        <f t="shared" si="106"/>
        <v>65.8</v>
      </c>
      <c r="J489">
        <f t="shared" si="107"/>
        <v>72.38000000000001</v>
      </c>
      <c r="K489" s="7" t="s">
        <v>1134</v>
      </c>
    </row>
    <row r="490" spans="1:11">
      <c r="F490">
        <f t="shared" si="104"/>
        <v>0</v>
      </c>
      <c r="G490">
        <f t="shared" si="105"/>
        <v>0</v>
      </c>
      <c r="I490">
        <f t="shared" si="106"/>
        <v>0</v>
      </c>
      <c r="J490">
        <f t="shared" si="107"/>
        <v>0</v>
      </c>
    </row>
    <row r="491" spans="1:11">
      <c r="B491" t="s">
        <v>1104</v>
      </c>
      <c r="C491" t="s">
        <v>1102</v>
      </c>
      <c r="E491" s="7">
        <v>35</v>
      </c>
      <c r="F491">
        <f t="shared" si="104"/>
        <v>49</v>
      </c>
      <c r="G491">
        <f t="shared" si="105"/>
        <v>53.900000000000006</v>
      </c>
      <c r="H491" s="7">
        <v>200</v>
      </c>
      <c r="I491">
        <f t="shared" si="106"/>
        <v>280</v>
      </c>
      <c r="J491">
        <f t="shared" si="107"/>
        <v>308</v>
      </c>
      <c r="K491" s="7" t="s">
        <v>1135</v>
      </c>
    </row>
    <row r="492" spans="1:11">
      <c r="B492" t="s">
        <v>1104</v>
      </c>
      <c r="C492" t="s">
        <v>1103</v>
      </c>
      <c r="E492" s="7">
        <v>1</v>
      </c>
      <c r="F492">
        <f t="shared" si="104"/>
        <v>1.4</v>
      </c>
      <c r="G492">
        <f t="shared" si="105"/>
        <v>1.54</v>
      </c>
      <c r="H492" s="7">
        <v>40</v>
      </c>
      <c r="I492">
        <f t="shared" si="106"/>
        <v>56</v>
      </c>
      <c r="J492">
        <f t="shared" si="107"/>
        <v>61.600000000000009</v>
      </c>
      <c r="K492" s="7" t="s">
        <v>1136</v>
      </c>
    </row>
    <row r="493" spans="1:11">
      <c r="F493">
        <f t="shared" si="104"/>
        <v>0</v>
      </c>
      <c r="G493">
        <f t="shared" si="105"/>
        <v>0</v>
      </c>
      <c r="I493">
        <f t="shared" si="106"/>
        <v>0</v>
      </c>
      <c r="J493">
        <f t="shared" si="107"/>
        <v>0</v>
      </c>
    </row>
    <row r="494" spans="1:11" ht="23.25">
      <c r="A494" s="1" t="s">
        <v>1137</v>
      </c>
      <c r="F494">
        <f t="shared" si="104"/>
        <v>0</v>
      </c>
      <c r="G494">
        <f t="shared" si="105"/>
        <v>0</v>
      </c>
      <c r="I494">
        <f t="shared" si="106"/>
        <v>0</v>
      </c>
      <c r="J494">
        <f t="shared" si="107"/>
        <v>0</v>
      </c>
    </row>
    <row r="495" spans="1:11">
      <c r="B495" t="s">
        <v>1139</v>
      </c>
      <c r="C495" t="s">
        <v>1140</v>
      </c>
      <c r="E495" s="7">
        <v>30</v>
      </c>
      <c r="F495">
        <f t="shared" si="104"/>
        <v>42</v>
      </c>
      <c r="G495">
        <f t="shared" si="105"/>
        <v>46.2</v>
      </c>
      <c r="H495" s="7">
        <v>600</v>
      </c>
      <c r="I495">
        <f t="shared" si="106"/>
        <v>840</v>
      </c>
      <c r="J495">
        <f t="shared" si="107"/>
        <v>924.00000000000011</v>
      </c>
      <c r="K495" s="7" t="s">
        <v>1148</v>
      </c>
    </row>
    <row r="496" spans="1:11">
      <c r="F496">
        <f t="shared" si="104"/>
        <v>0</v>
      </c>
      <c r="G496">
        <f t="shared" si="105"/>
        <v>0</v>
      </c>
      <c r="I496">
        <f t="shared" si="106"/>
        <v>0</v>
      </c>
      <c r="J496">
        <f t="shared" si="107"/>
        <v>0</v>
      </c>
    </row>
    <row r="497" spans="1:11">
      <c r="B497" t="s">
        <v>1141</v>
      </c>
      <c r="C497" t="s">
        <v>1142</v>
      </c>
      <c r="E497" s="7">
        <v>60</v>
      </c>
      <c r="F497">
        <f t="shared" si="104"/>
        <v>84</v>
      </c>
      <c r="G497">
        <f t="shared" si="105"/>
        <v>92.4</v>
      </c>
      <c r="H497" s="7">
        <v>2400</v>
      </c>
      <c r="I497">
        <f t="shared" si="106"/>
        <v>3360</v>
      </c>
      <c r="J497">
        <f t="shared" si="107"/>
        <v>3696.0000000000005</v>
      </c>
      <c r="K497" s="7" t="s">
        <v>1149</v>
      </c>
    </row>
    <row r="498" spans="1:11">
      <c r="F498">
        <f t="shared" si="104"/>
        <v>0</v>
      </c>
      <c r="G498">
        <f t="shared" si="105"/>
        <v>0</v>
      </c>
      <c r="I498">
        <f t="shared" si="106"/>
        <v>0</v>
      </c>
      <c r="J498">
        <f t="shared" si="107"/>
        <v>0</v>
      </c>
    </row>
    <row r="499" spans="1:11">
      <c r="B499" t="s">
        <v>1145</v>
      </c>
      <c r="C499" t="s">
        <v>1144</v>
      </c>
      <c r="E499" s="7">
        <v>10</v>
      </c>
      <c r="F499">
        <f t="shared" si="104"/>
        <v>14</v>
      </c>
      <c r="G499">
        <f t="shared" si="105"/>
        <v>15.400000000000002</v>
      </c>
      <c r="H499" s="7">
        <v>50</v>
      </c>
      <c r="I499">
        <f t="shared" si="106"/>
        <v>70</v>
      </c>
      <c r="J499">
        <f t="shared" si="107"/>
        <v>77</v>
      </c>
      <c r="K499" s="7" t="s">
        <v>1150</v>
      </c>
    </row>
    <row r="500" spans="1:11">
      <c r="B500" t="s">
        <v>1145</v>
      </c>
      <c r="C500" t="s">
        <v>1143</v>
      </c>
      <c r="E500" s="7">
        <v>10</v>
      </c>
      <c r="F500">
        <f t="shared" si="104"/>
        <v>14</v>
      </c>
      <c r="G500">
        <f t="shared" si="105"/>
        <v>15.400000000000002</v>
      </c>
      <c r="H500" s="7">
        <v>50</v>
      </c>
      <c r="I500">
        <f t="shared" si="106"/>
        <v>70</v>
      </c>
      <c r="J500">
        <f t="shared" si="107"/>
        <v>77</v>
      </c>
      <c r="K500" s="7" t="s">
        <v>1151</v>
      </c>
    </row>
    <row r="501" spans="1:11">
      <c r="F501">
        <f t="shared" si="104"/>
        <v>0</v>
      </c>
      <c r="G501">
        <f t="shared" si="105"/>
        <v>0</v>
      </c>
      <c r="I501">
        <f t="shared" si="106"/>
        <v>0</v>
      </c>
      <c r="J501">
        <f t="shared" si="107"/>
        <v>0</v>
      </c>
    </row>
    <row r="502" spans="1:11">
      <c r="B502" t="s">
        <v>1147</v>
      </c>
      <c r="C502" t="s">
        <v>1146</v>
      </c>
      <c r="D502" s="3" t="s">
        <v>1152</v>
      </c>
      <c r="E502" s="7">
        <v>15</v>
      </c>
      <c r="F502">
        <f t="shared" si="104"/>
        <v>21</v>
      </c>
      <c r="G502">
        <f t="shared" si="105"/>
        <v>23.1</v>
      </c>
      <c r="H502" s="7">
        <v>170</v>
      </c>
      <c r="I502">
        <f t="shared" si="106"/>
        <v>237.99999999999997</v>
      </c>
      <c r="J502">
        <f t="shared" si="107"/>
        <v>261.8</v>
      </c>
      <c r="K502" s="7" t="s">
        <v>1153</v>
      </c>
    </row>
    <row r="503" spans="1:11">
      <c r="F503">
        <f t="shared" si="104"/>
        <v>0</v>
      </c>
      <c r="G503">
        <f t="shared" si="105"/>
        <v>0</v>
      </c>
      <c r="I503">
        <f t="shared" si="106"/>
        <v>0</v>
      </c>
      <c r="J503">
        <f t="shared" si="107"/>
        <v>0</v>
      </c>
    </row>
    <row r="504" spans="1:11" ht="23.25">
      <c r="A504" s="1" t="s">
        <v>1154</v>
      </c>
      <c r="F504">
        <f t="shared" si="104"/>
        <v>0</v>
      </c>
      <c r="G504">
        <f t="shared" si="105"/>
        <v>0</v>
      </c>
      <c r="I504">
        <f t="shared" si="106"/>
        <v>0</v>
      </c>
      <c r="J504">
        <f t="shared" si="107"/>
        <v>0</v>
      </c>
    </row>
    <row r="505" spans="1:11">
      <c r="B505" t="s">
        <v>1155</v>
      </c>
      <c r="C505" t="s">
        <v>1159</v>
      </c>
      <c r="E505" s="7">
        <v>95</v>
      </c>
      <c r="F505">
        <f t="shared" ref="F505:F517" si="116">E505*1.4</f>
        <v>133</v>
      </c>
      <c r="G505">
        <f t="shared" ref="G505:G517" si="117">F505*1.1</f>
        <v>146.30000000000001</v>
      </c>
      <c r="H505" s="7">
        <v>1750</v>
      </c>
      <c r="I505">
        <f t="shared" ref="I505:I517" si="118">H505*1.4</f>
        <v>2450</v>
      </c>
      <c r="J505">
        <f t="shared" ref="J505:J517" si="119">I505*1.1</f>
        <v>2695</v>
      </c>
      <c r="K505" s="7" t="s">
        <v>1183</v>
      </c>
    </row>
    <row r="506" spans="1:11">
      <c r="B506" t="s">
        <v>1155</v>
      </c>
      <c r="C506" t="s">
        <v>1165</v>
      </c>
      <c r="E506" s="7">
        <v>94</v>
      </c>
      <c r="F506">
        <f t="shared" si="116"/>
        <v>131.6</v>
      </c>
      <c r="G506">
        <f t="shared" si="117"/>
        <v>144.76000000000002</v>
      </c>
      <c r="H506" s="7">
        <v>2000</v>
      </c>
      <c r="I506">
        <f t="shared" si="118"/>
        <v>2800</v>
      </c>
      <c r="J506">
        <f t="shared" si="119"/>
        <v>3080.0000000000005</v>
      </c>
      <c r="K506" s="7" t="s">
        <v>1191</v>
      </c>
    </row>
    <row r="507" spans="1:11">
      <c r="B507" t="s">
        <v>1155</v>
      </c>
      <c r="C507" t="s">
        <v>1167</v>
      </c>
      <c r="E507" s="7">
        <v>77</v>
      </c>
      <c r="F507">
        <f t="shared" si="116"/>
        <v>107.8</v>
      </c>
      <c r="G507">
        <f t="shared" si="117"/>
        <v>118.58000000000001</v>
      </c>
      <c r="I507">
        <f t="shared" si="118"/>
        <v>0</v>
      </c>
      <c r="J507">
        <f t="shared" si="119"/>
        <v>0</v>
      </c>
      <c r="K507" s="7" t="s">
        <v>1193</v>
      </c>
    </row>
    <row r="508" spans="1:11">
      <c r="B508" t="s">
        <v>1155</v>
      </c>
      <c r="C508" t="s">
        <v>1166</v>
      </c>
      <c r="E508" s="7">
        <v>44</v>
      </c>
      <c r="F508">
        <f t="shared" si="116"/>
        <v>61.599999999999994</v>
      </c>
      <c r="G508">
        <f t="shared" si="117"/>
        <v>67.760000000000005</v>
      </c>
      <c r="H508" s="7">
        <v>1150</v>
      </c>
      <c r="I508">
        <f t="shared" si="118"/>
        <v>1610</v>
      </c>
      <c r="J508">
        <f t="shared" si="119"/>
        <v>1771.0000000000002</v>
      </c>
      <c r="K508" s="7" t="s">
        <v>1192</v>
      </c>
    </row>
    <row r="509" spans="1:11">
      <c r="B509" t="s">
        <v>1155</v>
      </c>
      <c r="C509" t="s">
        <v>1164</v>
      </c>
      <c r="D509" s="3" t="s">
        <v>1177</v>
      </c>
      <c r="E509" s="7">
        <v>75</v>
      </c>
      <c r="F509">
        <f t="shared" si="116"/>
        <v>105</v>
      </c>
      <c r="G509">
        <f t="shared" si="117"/>
        <v>115.50000000000001</v>
      </c>
      <c r="H509" s="7">
        <v>700</v>
      </c>
      <c r="I509">
        <f t="shared" si="118"/>
        <v>979.99999999999989</v>
      </c>
      <c r="J509">
        <f t="shared" si="119"/>
        <v>1078</v>
      </c>
    </row>
    <row r="510" spans="1:11">
      <c r="B510" t="s">
        <v>1155</v>
      </c>
      <c r="C510" t="s">
        <v>1156</v>
      </c>
      <c r="D510" s="3" t="s">
        <v>1177</v>
      </c>
      <c r="E510" s="7">
        <v>100</v>
      </c>
      <c r="F510">
        <f t="shared" si="116"/>
        <v>140</v>
      </c>
      <c r="G510">
        <f t="shared" si="117"/>
        <v>154</v>
      </c>
      <c r="H510" s="7">
        <v>1395.95</v>
      </c>
      <c r="I510">
        <f t="shared" si="118"/>
        <v>1954.33</v>
      </c>
      <c r="J510">
        <f t="shared" si="119"/>
        <v>2149.7629999999999</v>
      </c>
      <c r="K510" s="7" t="s">
        <v>1178</v>
      </c>
    </row>
    <row r="511" spans="1:11">
      <c r="B511" t="s">
        <v>1155</v>
      </c>
      <c r="C511" t="s">
        <v>1157</v>
      </c>
      <c r="D511" s="3" t="s">
        <v>1179</v>
      </c>
      <c r="E511" s="7">
        <v>52</v>
      </c>
      <c r="F511">
        <f t="shared" si="116"/>
        <v>72.8</v>
      </c>
      <c r="G511">
        <f t="shared" si="117"/>
        <v>80.08</v>
      </c>
      <c r="H511" s="7">
        <v>649</v>
      </c>
      <c r="I511">
        <f t="shared" si="118"/>
        <v>908.59999999999991</v>
      </c>
      <c r="J511">
        <f t="shared" si="119"/>
        <v>999.46</v>
      </c>
      <c r="K511" s="7" t="s">
        <v>1180</v>
      </c>
    </row>
    <row r="512" spans="1:11">
      <c r="B512" t="s">
        <v>1155</v>
      </c>
      <c r="C512" t="s">
        <v>1163</v>
      </c>
      <c r="D512" s="3" t="s">
        <v>1190</v>
      </c>
      <c r="E512" s="7">
        <v>25</v>
      </c>
      <c r="F512">
        <f t="shared" si="116"/>
        <v>35</v>
      </c>
      <c r="G512">
        <f t="shared" si="117"/>
        <v>38.5</v>
      </c>
      <c r="H512" s="7">
        <v>649</v>
      </c>
      <c r="I512">
        <f t="shared" si="118"/>
        <v>908.59999999999991</v>
      </c>
      <c r="J512">
        <f t="shared" si="119"/>
        <v>999.46</v>
      </c>
    </row>
    <row r="513" spans="1:11">
      <c r="B513" t="s">
        <v>1155</v>
      </c>
      <c r="C513" t="s">
        <v>1161</v>
      </c>
      <c r="E513" s="7">
        <v>84</v>
      </c>
      <c r="F513">
        <f t="shared" si="116"/>
        <v>117.6</v>
      </c>
      <c r="G513">
        <f t="shared" si="117"/>
        <v>129.36000000000001</v>
      </c>
      <c r="H513" s="7">
        <v>2500</v>
      </c>
      <c r="I513">
        <f t="shared" si="118"/>
        <v>3500</v>
      </c>
      <c r="J513">
        <f t="shared" si="119"/>
        <v>3850.0000000000005</v>
      </c>
      <c r="K513" s="7" t="s">
        <v>1185</v>
      </c>
    </row>
    <row r="514" spans="1:11">
      <c r="B514" t="s">
        <v>1155</v>
      </c>
      <c r="C514" t="s">
        <v>1158</v>
      </c>
      <c r="D514" s="3" t="s">
        <v>1181</v>
      </c>
      <c r="E514" s="7">
        <v>110</v>
      </c>
      <c r="F514">
        <f t="shared" si="116"/>
        <v>154</v>
      </c>
      <c r="G514">
        <f t="shared" si="117"/>
        <v>169.4</v>
      </c>
      <c r="H514" s="7">
        <v>1799.95</v>
      </c>
      <c r="I514">
        <f t="shared" si="118"/>
        <v>2519.9299999999998</v>
      </c>
      <c r="J514">
        <f t="shared" si="119"/>
        <v>2771.9230000000002</v>
      </c>
      <c r="K514" s="7" t="s">
        <v>1182</v>
      </c>
    </row>
    <row r="515" spans="1:11">
      <c r="B515" t="s">
        <v>1155</v>
      </c>
      <c r="C515" t="s">
        <v>1160</v>
      </c>
      <c r="E515" s="7">
        <v>22</v>
      </c>
      <c r="F515">
        <f t="shared" si="116"/>
        <v>30.799999999999997</v>
      </c>
      <c r="G515">
        <f t="shared" si="117"/>
        <v>33.880000000000003</v>
      </c>
      <c r="H515" s="7">
        <v>700</v>
      </c>
      <c r="I515">
        <f t="shared" si="118"/>
        <v>979.99999999999989</v>
      </c>
      <c r="J515">
        <f t="shared" si="119"/>
        <v>1078</v>
      </c>
      <c r="K515" s="7" t="s">
        <v>1184</v>
      </c>
    </row>
    <row r="516" spans="1:11">
      <c r="B516" t="s">
        <v>1155</v>
      </c>
      <c r="C516" t="s">
        <v>1162</v>
      </c>
      <c r="D516" s="3" t="s">
        <v>1186</v>
      </c>
      <c r="E516" s="7">
        <v>60</v>
      </c>
      <c r="F516">
        <f t="shared" si="116"/>
        <v>84</v>
      </c>
      <c r="G516">
        <f t="shared" si="117"/>
        <v>92.4</v>
      </c>
      <c r="H516" s="7">
        <v>800</v>
      </c>
      <c r="I516">
        <f t="shared" si="118"/>
        <v>1120</v>
      </c>
      <c r="J516">
        <f t="shared" si="119"/>
        <v>1232</v>
      </c>
      <c r="K516" s="7" t="s">
        <v>1187</v>
      </c>
    </row>
    <row r="517" spans="1:11">
      <c r="B517" t="s">
        <v>1155</v>
      </c>
      <c r="C517" t="s">
        <v>1168</v>
      </c>
      <c r="D517" s="3" t="s">
        <v>1188</v>
      </c>
      <c r="E517" s="7">
        <v>70</v>
      </c>
      <c r="F517">
        <f t="shared" si="116"/>
        <v>98</v>
      </c>
      <c r="G517">
        <f t="shared" si="117"/>
        <v>107.80000000000001</v>
      </c>
      <c r="H517" s="7">
        <v>800</v>
      </c>
      <c r="I517">
        <f t="shared" si="118"/>
        <v>1120</v>
      </c>
      <c r="J517">
        <f t="shared" si="119"/>
        <v>1232</v>
      </c>
      <c r="K517" s="7" t="s">
        <v>1189</v>
      </c>
    </row>
    <row r="518" spans="1:11">
      <c r="F518">
        <f t="shared" ref="F518:F573" si="120">E518*1.4</f>
        <v>0</v>
      </c>
      <c r="G518">
        <f t="shared" ref="G518:G555" si="121">F518*1.1</f>
        <v>0</v>
      </c>
      <c r="I518">
        <f t="shared" ref="I518:I555" si="122">H518*1.4</f>
        <v>0</v>
      </c>
      <c r="J518">
        <f t="shared" ref="J518:J555" si="123">I518*1.1</f>
        <v>0</v>
      </c>
    </row>
    <row r="519" spans="1:11">
      <c r="B519" t="s">
        <v>1169</v>
      </c>
      <c r="C519" t="s">
        <v>1170</v>
      </c>
      <c r="D519" s="3" t="s">
        <v>1194</v>
      </c>
      <c r="E519" s="7">
        <v>117</v>
      </c>
      <c r="F519">
        <f t="shared" si="120"/>
        <v>163.79999999999998</v>
      </c>
      <c r="G519">
        <f t="shared" si="121"/>
        <v>180.18</v>
      </c>
      <c r="H519" s="7">
        <v>3000</v>
      </c>
      <c r="I519">
        <f t="shared" si="122"/>
        <v>4200</v>
      </c>
      <c r="J519">
        <f t="shared" si="123"/>
        <v>4620</v>
      </c>
      <c r="K519" s="7" t="s">
        <v>1195</v>
      </c>
    </row>
    <row r="520" spans="1:11">
      <c r="B520" t="s">
        <v>1169</v>
      </c>
      <c r="C520" t="s">
        <v>1172</v>
      </c>
      <c r="D520" s="3" t="s">
        <v>1198</v>
      </c>
      <c r="E520" s="7">
        <v>140</v>
      </c>
      <c r="F520">
        <f>E520*1.4</f>
        <v>196</v>
      </c>
      <c r="G520">
        <f>F520*1.1</f>
        <v>215.60000000000002</v>
      </c>
      <c r="H520" s="7">
        <v>4700</v>
      </c>
      <c r="I520">
        <f>H520*1.4</f>
        <v>6580</v>
      </c>
      <c r="J520">
        <f>I520*1.1</f>
        <v>7238.0000000000009</v>
      </c>
      <c r="K520" s="7" t="s">
        <v>1199</v>
      </c>
    </row>
    <row r="521" spans="1:11">
      <c r="B521" t="s">
        <v>1169</v>
      </c>
      <c r="C521" t="s">
        <v>1204</v>
      </c>
      <c r="D521" s="3" t="s">
        <v>1200</v>
      </c>
      <c r="E521" s="7">
        <v>145</v>
      </c>
      <c r="F521">
        <f>E521*1.4</f>
        <v>203</v>
      </c>
      <c r="G521">
        <f>F521*1.1</f>
        <v>223.3</v>
      </c>
      <c r="H521" s="7">
        <v>7000</v>
      </c>
      <c r="I521">
        <f>H521*1.4</f>
        <v>9800</v>
      </c>
      <c r="J521">
        <f>I521*1.1</f>
        <v>10780</v>
      </c>
      <c r="K521" s="7" t="s">
        <v>1201</v>
      </c>
    </row>
    <row r="522" spans="1:11">
      <c r="B522" t="s">
        <v>1169</v>
      </c>
      <c r="C522" t="s">
        <v>1171</v>
      </c>
      <c r="D522" s="3" t="s">
        <v>1196</v>
      </c>
      <c r="E522" s="7">
        <v>325</v>
      </c>
      <c r="F522">
        <f>E522*1.4</f>
        <v>454.99999999999994</v>
      </c>
      <c r="G522">
        <f>F522*1.1</f>
        <v>500.5</v>
      </c>
      <c r="H522" s="7">
        <v>9600</v>
      </c>
      <c r="I522">
        <f>H522*1.4</f>
        <v>13440</v>
      </c>
      <c r="J522">
        <f>I522*1.1</f>
        <v>14784.000000000002</v>
      </c>
      <c r="K522" s="7" t="s">
        <v>1197</v>
      </c>
    </row>
    <row r="524" spans="1:11">
      <c r="B524" t="s">
        <v>1173</v>
      </c>
      <c r="C524" t="s">
        <v>1174</v>
      </c>
      <c r="E524" s="7">
        <v>50</v>
      </c>
      <c r="F524">
        <f t="shared" si="120"/>
        <v>70</v>
      </c>
      <c r="G524">
        <f t="shared" si="121"/>
        <v>77</v>
      </c>
      <c r="H524" s="7">
        <v>789</v>
      </c>
      <c r="I524">
        <f t="shared" si="122"/>
        <v>1104.5999999999999</v>
      </c>
      <c r="J524">
        <f t="shared" si="123"/>
        <v>1215.06</v>
      </c>
      <c r="K524" s="7" t="s">
        <v>1202</v>
      </c>
    </row>
    <row r="525" spans="1:11">
      <c r="F525">
        <f t="shared" si="120"/>
        <v>0</v>
      </c>
      <c r="G525">
        <f t="shared" si="121"/>
        <v>0</v>
      </c>
      <c r="I525">
        <f t="shared" si="122"/>
        <v>0</v>
      </c>
      <c r="J525">
        <f t="shared" si="123"/>
        <v>0</v>
      </c>
    </row>
    <row r="526" spans="1:11">
      <c r="B526" t="s">
        <v>1175</v>
      </c>
      <c r="C526" t="s">
        <v>1176</v>
      </c>
      <c r="E526" s="7">
        <v>30</v>
      </c>
      <c r="F526">
        <f t="shared" si="120"/>
        <v>42</v>
      </c>
      <c r="G526">
        <f t="shared" si="121"/>
        <v>46.2</v>
      </c>
      <c r="H526" s="7">
        <v>224</v>
      </c>
      <c r="I526">
        <f t="shared" si="122"/>
        <v>313.59999999999997</v>
      </c>
      <c r="J526">
        <f t="shared" si="123"/>
        <v>344.96</v>
      </c>
      <c r="K526" s="7" t="s">
        <v>1203</v>
      </c>
    </row>
    <row r="527" spans="1:11">
      <c r="F527">
        <f t="shared" si="120"/>
        <v>0</v>
      </c>
      <c r="G527">
        <f t="shared" si="121"/>
        <v>0</v>
      </c>
      <c r="I527">
        <f t="shared" si="122"/>
        <v>0</v>
      </c>
      <c r="J527">
        <f t="shared" si="123"/>
        <v>0</v>
      </c>
    </row>
    <row r="528" spans="1:11" ht="23.25">
      <c r="A528" s="1" t="s">
        <v>1205</v>
      </c>
      <c r="F528">
        <f t="shared" si="120"/>
        <v>0</v>
      </c>
      <c r="G528">
        <f t="shared" si="121"/>
        <v>0</v>
      </c>
      <c r="I528">
        <f t="shared" si="122"/>
        <v>0</v>
      </c>
      <c r="J528">
        <f t="shared" si="123"/>
        <v>0</v>
      </c>
    </row>
    <row r="529" spans="2:11">
      <c r="B529" t="s">
        <v>798</v>
      </c>
      <c r="C529" t="s">
        <v>799</v>
      </c>
      <c r="D529" s="3" t="s">
        <v>800</v>
      </c>
      <c r="E529" s="7">
        <v>97</v>
      </c>
      <c r="F529">
        <f t="shared" si="120"/>
        <v>135.79999999999998</v>
      </c>
      <c r="G529">
        <f t="shared" si="121"/>
        <v>149.38</v>
      </c>
      <c r="H529" s="7">
        <v>1299</v>
      </c>
      <c r="I529">
        <f t="shared" si="122"/>
        <v>1818.6</v>
      </c>
      <c r="J529">
        <f t="shared" si="123"/>
        <v>2000.46</v>
      </c>
      <c r="K529" s="7" t="s">
        <v>801</v>
      </c>
    </row>
    <row r="530" spans="2:11">
      <c r="F530">
        <f t="shared" si="120"/>
        <v>0</v>
      </c>
      <c r="G530">
        <f t="shared" si="121"/>
        <v>0</v>
      </c>
      <c r="I530">
        <f t="shared" si="122"/>
        <v>0</v>
      </c>
      <c r="J530">
        <f t="shared" si="123"/>
        <v>0</v>
      </c>
    </row>
    <row r="531" spans="2:11">
      <c r="B531" t="s">
        <v>1206</v>
      </c>
      <c r="C531" t="s">
        <v>1207</v>
      </c>
      <c r="D531" s="3" t="s">
        <v>251</v>
      </c>
      <c r="E531" s="7">
        <v>49</v>
      </c>
      <c r="F531">
        <f t="shared" si="120"/>
        <v>68.599999999999994</v>
      </c>
      <c r="G531">
        <f t="shared" si="121"/>
        <v>75.459999999999994</v>
      </c>
      <c r="H531" s="7">
        <v>646</v>
      </c>
      <c r="I531">
        <f t="shared" si="122"/>
        <v>904.4</v>
      </c>
      <c r="J531">
        <f t="shared" si="123"/>
        <v>994.84</v>
      </c>
      <c r="K531" s="7" t="s">
        <v>1231</v>
      </c>
    </row>
    <row r="532" spans="2:11">
      <c r="B532" t="s">
        <v>1206</v>
      </c>
      <c r="C532" t="s">
        <v>1208</v>
      </c>
      <c r="D532" s="10" t="s">
        <v>254</v>
      </c>
      <c r="E532" s="7">
        <v>40</v>
      </c>
      <c r="F532">
        <f t="shared" si="120"/>
        <v>56</v>
      </c>
      <c r="G532">
        <f t="shared" si="121"/>
        <v>61.600000000000009</v>
      </c>
      <c r="H532" s="7">
        <v>485</v>
      </c>
      <c r="I532">
        <f t="shared" si="122"/>
        <v>679</v>
      </c>
      <c r="J532">
        <f t="shared" si="123"/>
        <v>746.90000000000009</v>
      </c>
      <c r="K532" s="7" t="s">
        <v>256</v>
      </c>
    </row>
    <row r="533" spans="2:11">
      <c r="B533" t="s">
        <v>1206</v>
      </c>
      <c r="C533" t="s">
        <v>1209</v>
      </c>
      <c r="D533" s="3" t="s">
        <v>257</v>
      </c>
      <c r="E533" s="7">
        <v>45</v>
      </c>
      <c r="F533">
        <f t="shared" si="120"/>
        <v>62.999999999999993</v>
      </c>
      <c r="G533">
        <f t="shared" si="121"/>
        <v>69.3</v>
      </c>
      <c r="H533" s="7">
        <v>569</v>
      </c>
      <c r="I533">
        <f t="shared" si="122"/>
        <v>796.59999999999991</v>
      </c>
      <c r="J533">
        <f t="shared" si="123"/>
        <v>876.26</v>
      </c>
      <c r="K533" s="7" t="s">
        <v>259</v>
      </c>
    </row>
    <row r="534" spans="2:11">
      <c r="F534">
        <f t="shared" si="120"/>
        <v>0</v>
      </c>
      <c r="G534">
        <f t="shared" si="121"/>
        <v>0</v>
      </c>
      <c r="I534">
        <f t="shared" ref="I534:I535" si="124">H534*1.4</f>
        <v>0</v>
      </c>
      <c r="J534">
        <f t="shared" si="123"/>
        <v>0</v>
      </c>
    </row>
    <row r="535" spans="2:11">
      <c r="B535" t="s">
        <v>1210</v>
      </c>
      <c r="C535" t="s">
        <v>1218</v>
      </c>
      <c r="D535" s="3" t="s">
        <v>1241</v>
      </c>
      <c r="E535" s="7">
        <v>100</v>
      </c>
      <c r="F535">
        <f t="shared" ref="F535" si="125">E535*1.4</f>
        <v>140</v>
      </c>
      <c r="G535">
        <f t="shared" ref="G535" si="126">F535*1.1</f>
        <v>154</v>
      </c>
      <c r="H535" s="7">
        <v>1200</v>
      </c>
      <c r="I535">
        <f t="shared" si="124"/>
        <v>1680</v>
      </c>
      <c r="J535">
        <f t="shared" ref="J535" si="127">I535*1.1</f>
        <v>1848.0000000000002</v>
      </c>
      <c r="K535" s="7" t="s">
        <v>1242</v>
      </c>
    </row>
    <row r="536" spans="2:11">
      <c r="B536" t="s">
        <v>1210</v>
      </c>
      <c r="C536" t="s">
        <v>1214</v>
      </c>
      <c r="D536" s="3" t="s">
        <v>1236</v>
      </c>
      <c r="E536" s="7">
        <v>43</v>
      </c>
      <c r="F536">
        <f t="shared" ref="F536:F542" si="128">E536*1.4</f>
        <v>60.199999999999996</v>
      </c>
      <c r="G536">
        <f t="shared" ref="G536:G542" si="129">F536*1.1</f>
        <v>66.22</v>
      </c>
      <c r="H536" s="7">
        <v>550</v>
      </c>
      <c r="I536">
        <f t="shared" ref="I536:I542" si="130">H536*1.4</f>
        <v>770</v>
      </c>
      <c r="J536">
        <f t="shared" ref="J536:J542" si="131">I536*1.1</f>
        <v>847.00000000000011</v>
      </c>
    </row>
    <row r="537" spans="2:11">
      <c r="B537" t="s">
        <v>1210</v>
      </c>
      <c r="C537" t="s">
        <v>1215</v>
      </c>
      <c r="D537" s="3" t="s">
        <v>1237</v>
      </c>
      <c r="E537" s="7">
        <v>40</v>
      </c>
      <c r="F537">
        <f t="shared" si="128"/>
        <v>56</v>
      </c>
      <c r="G537">
        <f t="shared" si="129"/>
        <v>61.600000000000009</v>
      </c>
      <c r="H537" s="7">
        <v>550</v>
      </c>
      <c r="I537">
        <f t="shared" si="130"/>
        <v>770</v>
      </c>
      <c r="J537">
        <f t="shared" si="131"/>
        <v>847.00000000000011</v>
      </c>
    </row>
    <row r="538" spans="2:11">
      <c r="B538" t="s">
        <v>1210</v>
      </c>
      <c r="C538" t="s">
        <v>1212</v>
      </c>
      <c r="E538" s="7">
        <v>5</v>
      </c>
      <c r="F538">
        <f t="shared" si="128"/>
        <v>7</v>
      </c>
      <c r="G538">
        <f t="shared" si="129"/>
        <v>7.7000000000000011</v>
      </c>
      <c r="H538" s="7">
        <v>225</v>
      </c>
      <c r="I538">
        <f t="shared" si="130"/>
        <v>315</v>
      </c>
      <c r="J538">
        <f t="shared" si="131"/>
        <v>346.5</v>
      </c>
      <c r="K538" s="7" t="s">
        <v>1234</v>
      </c>
    </row>
    <row r="539" spans="2:11">
      <c r="B539" t="s">
        <v>1210</v>
      </c>
      <c r="C539" t="s">
        <v>1213</v>
      </c>
      <c r="E539" s="7">
        <v>5</v>
      </c>
      <c r="F539">
        <f t="shared" si="128"/>
        <v>7</v>
      </c>
      <c r="G539">
        <f t="shared" si="129"/>
        <v>7.7000000000000011</v>
      </c>
      <c r="H539" s="7">
        <v>235</v>
      </c>
      <c r="I539">
        <f t="shared" si="130"/>
        <v>329</v>
      </c>
      <c r="J539">
        <f t="shared" si="131"/>
        <v>361.90000000000003</v>
      </c>
      <c r="K539" s="7" t="s">
        <v>1235</v>
      </c>
    </row>
    <row r="540" spans="2:11">
      <c r="B540" t="s">
        <v>1210</v>
      </c>
      <c r="C540" t="s">
        <v>1211</v>
      </c>
      <c r="D540" s="3" t="s">
        <v>1232</v>
      </c>
      <c r="E540" s="7">
        <v>75</v>
      </c>
      <c r="F540">
        <f t="shared" si="128"/>
        <v>105</v>
      </c>
      <c r="G540">
        <f t="shared" si="129"/>
        <v>115.50000000000001</v>
      </c>
      <c r="H540" s="7">
        <v>1500</v>
      </c>
      <c r="I540">
        <f t="shared" si="130"/>
        <v>2100</v>
      </c>
      <c r="J540">
        <f t="shared" si="131"/>
        <v>2310</v>
      </c>
      <c r="K540" s="7" t="s">
        <v>1233</v>
      </c>
    </row>
    <row r="541" spans="2:11">
      <c r="B541" t="s">
        <v>1210</v>
      </c>
      <c r="C541" t="s">
        <v>1216</v>
      </c>
      <c r="E541" s="7">
        <v>35</v>
      </c>
      <c r="F541">
        <f t="shared" si="128"/>
        <v>49</v>
      </c>
      <c r="G541">
        <f t="shared" si="129"/>
        <v>53.900000000000006</v>
      </c>
      <c r="H541" s="7">
        <v>425</v>
      </c>
      <c r="I541">
        <f t="shared" si="130"/>
        <v>595</v>
      </c>
      <c r="J541">
        <f t="shared" si="131"/>
        <v>654.5</v>
      </c>
      <c r="K541" s="7" t="s">
        <v>1238</v>
      </c>
    </row>
    <row r="542" spans="2:11">
      <c r="B542" t="s">
        <v>1210</v>
      </c>
      <c r="C542" t="s">
        <v>1217</v>
      </c>
      <c r="D542" s="3" t="s">
        <v>1239</v>
      </c>
      <c r="E542" s="7">
        <v>15</v>
      </c>
      <c r="F542">
        <f t="shared" si="128"/>
        <v>21</v>
      </c>
      <c r="G542">
        <f t="shared" si="129"/>
        <v>23.1</v>
      </c>
      <c r="H542" s="7">
        <v>300</v>
      </c>
      <c r="I542">
        <f t="shared" si="130"/>
        <v>420</v>
      </c>
      <c r="J542">
        <f t="shared" si="131"/>
        <v>462.00000000000006</v>
      </c>
      <c r="K542" s="7" t="s">
        <v>1240</v>
      </c>
    </row>
    <row r="543" spans="2:11">
      <c r="F543">
        <f t="shared" si="120"/>
        <v>0</v>
      </c>
      <c r="G543">
        <f t="shared" si="121"/>
        <v>0</v>
      </c>
      <c r="I543">
        <f t="shared" si="122"/>
        <v>0</v>
      </c>
      <c r="J543">
        <f t="shared" si="123"/>
        <v>0</v>
      </c>
    </row>
    <row r="544" spans="2:11">
      <c r="B544" t="s">
        <v>1219</v>
      </c>
      <c r="C544" t="s">
        <v>1220</v>
      </c>
      <c r="E544" s="7">
        <v>50</v>
      </c>
      <c r="F544">
        <f t="shared" si="120"/>
        <v>70</v>
      </c>
      <c r="G544">
        <f t="shared" si="121"/>
        <v>77</v>
      </c>
      <c r="H544" s="7">
        <v>300</v>
      </c>
      <c r="I544">
        <f t="shared" si="122"/>
        <v>420</v>
      </c>
      <c r="J544">
        <f t="shared" si="123"/>
        <v>462.00000000000006</v>
      </c>
      <c r="K544" s="7" t="s">
        <v>1243</v>
      </c>
    </row>
    <row r="545" spans="1:11">
      <c r="F545">
        <f t="shared" si="120"/>
        <v>0</v>
      </c>
      <c r="G545">
        <f t="shared" si="121"/>
        <v>0</v>
      </c>
      <c r="I545">
        <f t="shared" si="122"/>
        <v>0</v>
      </c>
      <c r="J545">
        <f t="shared" si="123"/>
        <v>0</v>
      </c>
    </row>
    <row r="546" spans="1:11">
      <c r="B546" t="s">
        <v>1229</v>
      </c>
      <c r="C546" t="s">
        <v>1222</v>
      </c>
      <c r="E546" s="7">
        <v>55</v>
      </c>
      <c r="F546">
        <f t="shared" ref="F546:F553" si="132">E546*1.4</f>
        <v>77</v>
      </c>
      <c r="G546">
        <f t="shared" ref="G546:G553" si="133">F546*1.1</f>
        <v>84.7</v>
      </c>
      <c r="H546" s="7">
        <v>2265</v>
      </c>
      <c r="I546">
        <f t="shared" ref="I546:I553" si="134">H546*1.4</f>
        <v>3171</v>
      </c>
      <c r="J546">
        <f t="shared" ref="J546:J553" si="135">I546*1.1</f>
        <v>3488.1000000000004</v>
      </c>
      <c r="K546" s="7" t="s">
        <v>1245</v>
      </c>
    </row>
    <row r="547" spans="1:11">
      <c r="B547" t="s">
        <v>1229</v>
      </c>
      <c r="C547" t="s">
        <v>1223</v>
      </c>
      <c r="E547" s="7">
        <v>92</v>
      </c>
      <c r="F547">
        <f t="shared" si="132"/>
        <v>128.79999999999998</v>
      </c>
      <c r="G547">
        <f t="shared" si="133"/>
        <v>141.68</v>
      </c>
      <c r="H547" s="7">
        <v>1847</v>
      </c>
      <c r="I547">
        <f t="shared" si="134"/>
        <v>2585.7999999999997</v>
      </c>
      <c r="J547">
        <f t="shared" si="135"/>
        <v>2844.38</v>
      </c>
      <c r="K547" s="7" t="s">
        <v>1246</v>
      </c>
    </row>
    <row r="548" spans="1:11">
      <c r="B548" t="s">
        <v>1229</v>
      </c>
      <c r="C548" t="s">
        <v>1226</v>
      </c>
      <c r="E548" s="7">
        <v>70</v>
      </c>
      <c r="F548">
        <f t="shared" si="132"/>
        <v>98</v>
      </c>
      <c r="G548">
        <f t="shared" si="133"/>
        <v>107.80000000000001</v>
      </c>
      <c r="H548" s="7">
        <v>1400</v>
      </c>
      <c r="I548">
        <f t="shared" si="134"/>
        <v>1959.9999999999998</v>
      </c>
      <c r="J548">
        <f t="shared" si="135"/>
        <v>2156</v>
      </c>
      <c r="K548" s="7" t="s">
        <v>1249</v>
      </c>
    </row>
    <row r="549" spans="1:11">
      <c r="B549" t="s">
        <v>1229</v>
      </c>
      <c r="C549" t="s">
        <v>1224</v>
      </c>
      <c r="E549" s="7">
        <v>70</v>
      </c>
      <c r="F549">
        <f t="shared" si="132"/>
        <v>98</v>
      </c>
      <c r="G549">
        <f t="shared" si="133"/>
        <v>107.80000000000001</v>
      </c>
      <c r="H549" s="7">
        <v>1400</v>
      </c>
      <c r="I549">
        <f t="shared" si="134"/>
        <v>1959.9999999999998</v>
      </c>
      <c r="J549">
        <f t="shared" si="135"/>
        <v>2156</v>
      </c>
      <c r="K549" s="7" t="s">
        <v>1247</v>
      </c>
    </row>
    <row r="550" spans="1:11">
      <c r="B550" t="s">
        <v>1229</v>
      </c>
      <c r="C550" t="s">
        <v>1221</v>
      </c>
      <c r="E550" s="7">
        <v>60</v>
      </c>
      <c r="F550">
        <f t="shared" si="132"/>
        <v>84</v>
      </c>
      <c r="G550">
        <f t="shared" si="133"/>
        <v>92.4</v>
      </c>
      <c r="I550">
        <f t="shared" si="134"/>
        <v>0</v>
      </c>
      <c r="J550">
        <f t="shared" si="135"/>
        <v>0</v>
      </c>
      <c r="K550" s="7" t="s">
        <v>1244</v>
      </c>
    </row>
    <row r="551" spans="1:11">
      <c r="B551" t="s">
        <v>1229</v>
      </c>
      <c r="C551" t="s">
        <v>1225</v>
      </c>
      <c r="E551" s="7">
        <v>85</v>
      </c>
      <c r="F551">
        <f t="shared" si="132"/>
        <v>118.99999999999999</v>
      </c>
      <c r="G551">
        <f t="shared" si="133"/>
        <v>130.9</v>
      </c>
      <c r="H551" s="7">
        <v>1760</v>
      </c>
      <c r="I551">
        <f t="shared" si="134"/>
        <v>2464</v>
      </c>
      <c r="J551">
        <f t="shared" si="135"/>
        <v>2710.4</v>
      </c>
      <c r="K551" s="7" t="s">
        <v>1248</v>
      </c>
    </row>
    <row r="552" spans="1:11">
      <c r="B552" t="s">
        <v>1229</v>
      </c>
      <c r="C552" t="s">
        <v>1228</v>
      </c>
      <c r="E552" s="7">
        <v>75</v>
      </c>
      <c r="F552">
        <f t="shared" si="132"/>
        <v>105</v>
      </c>
      <c r="G552">
        <f t="shared" si="133"/>
        <v>115.50000000000001</v>
      </c>
      <c r="H552" s="7">
        <v>1500</v>
      </c>
      <c r="I552">
        <f t="shared" si="134"/>
        <v>2100</v>
      </c>
      <c r="J552">
        <f t="shared" si="135"/>
        <v>2310</v>
      </c>
      <c r="K552" s="7" t="s">
        <v>1251</v>
      </c>
    </row>
    <row r="553" spans="1:11">
      <c r="B553" t="s">
        <v>1229</v>
      </c>
      <c r="C553" t="s">
        <v>1227</v>
      </c>
      <c r="E553" s="7">
        <v>86</v>
      </c>
      <c r="F553">
        <f t="shared" si="132"/>
        <v>120.39999999999999</v>
      </c>
      <c r="G553">
        <f t="shared" si="133"/>
        <v>132.44</v>
      </c>
      <c r="H553" s="7">
        <v>1720</v>
      </c>
      <c r="I553">
        <f t="shared" si="134"/>
        <v>2408</v>
      </c>
      <c r="J553">
        <f t="shared" si="135"/>
        <v>2648.8</v>
      </c>
      <c r="K553" s="7" t="s">
        <v>1250</v>
      </c>
    </row>
    <row r="554" spans="1:11">
      <c r="F554">
        <f t="shared" si="120"/>
        <v>0</v>
      </c>
      <c r="G554">
        <f t="shared" si="121"/>
        <v>0</v>
      </c>
      <c r="I554">
        <f t="shared" si="122"/>
        <v>0</v>
      </c>
      <c r="J554">
        <f t="shared" si="123"/>
        <v>0</v>
      </c>
    </row>
    <row r="555" spans="1:11" ht="23.25">
      <c r="A555" s="1" t="s">
        <v>1230</v>
      </c>
      <c r="F555">
        <f t="shared" si="120"/>
        <v>0</v>
      </c>
      <c r="G555">
        <f t="shared" si="121"/>
        <v>0</v>
      </c>
      <c r="I555">
        <f t="shared" si="122"/>
        <v>0</v>
      </c>
      <c r="J555">
        <f t="shared" si="123"/>
        <v>0</v>
      </c>
    </row>
    <row r="556" spans="1:11">
      <c r="B556" t="s">
        <v>1252</v>
      </c>
      <c r="C556" t="s">
        <v>1258</v>
      </c>
      <c r="E556" s="7">
        <v>20</v>
      </c>
      <c r="F556">
        <f t="shared" ref="F556:F572" si="136">E556*1.4</f>
        <v>28</v>
      </c>
      <c r="G556">
        <f t="shared" ref="G556:G572" si="137">F556*1.1</f>
        <v>30.800000000000004</v>
      </c>
      <c r="H556" s="7">
        <v>300</v>
      </c>
      <c r="I556">
        <f t="shared" ref="I556:I572" si="138">H556*1.4</f>
        <v>420</v>
      </c>
      <c r="J556">
        <f t="shared" ref="J556:J572" si="139">I556*1.1</f>
        <v>462.00000000000006</v>
      </c>
      <c r="K556" s="7" t="s">
        <v>1317</v>
      </c>
    </row>
    <row r="557" spans="1:11">
      <c r="B557" t="s">
        <v>1252</v>
      </c>
      <c r="C557" t="s">
        <v>1267</v>
      </c>
      <c r="E557" s="7">
        <v>15</v>
      </c>
      <c r="F557">
        <f t="shared" si="136"/>
        <v>21</v>
      </c>
      <c r="G557">
        <f t="shared" si="137"/>
        <v>23.1</v>
      </c>
      <c r="H557" s="7">
        <v>150</v>
      </c>
      <c r="I557">
        <f t="shared" si="138"/>
        <v>210</v>
      </c>
      <c r="J557">
        <f t="shared" si="139"/>
        <v>231.00000000000003</v>
      </c>
      <c r="K557" s="7" t="s">
        <v>1330</v>
      </c>
    </row>
    <row r="558" spans="1:11">
      <c r="B558" t="s">
        <v>1252</v>
      </c>
      <c r="C558" t="s">
        <v>1253</v>
      </c>
      <c r="D558" s="3" t="s">
        <v>1309</v>
      </c>
      <c r="E558" s="7">
        <v>25</v>
      </c>
      <c r="F558">
        <f t="shared" si="136"/>
        <v>35</v>
      </c>
      <c r="G558">
        <f t="shared" si="137"/>
        <v>38.5</v>
      </c>
      <c r="H558" s="7">
        <v>400</v>
      </c>
      <c r="I558">
        <f t="shared" si="138"/>
        <v>560</v>
      </c>
      <c r="J558">
        <f t="shared" si="139"/>
        <v>616</v>
      </c>
      <c r="K558" s="7" t="s">
        <v>1310</v>
      </c>
    </row>
    <row r="559" spans="1:11">
      <c r="B559" t="s">
        <v>1252</v>
      </c>
      <c r="C559" t="s">
        <v>1256</v>
      </c>
      <c r="D559" s="3" t="s">
        <v>1314</v>
      </c>
      <c r="E559" s="7">
        <v>20</v>
      </c>
      <c r="F559">
        <f t="shared" si="136"/>
        <v>28</v>
      </c>
      <c r="G559">
        <f t="shared" si="137"/>
        <v>30.800000000000004</v>
      </c>
      <c r="I559">
        <f t="shared" si="138"/>
        <v>0</v>
      </c>
      <c r="J559">
        <f t="shared" si="139"/>
        <v>0</v>
      </c>
      <c r="K559" s="7" t="s">
        <v>1315</v>
      </c>
    </row>
    <row r="560" spans="1:11">
      <c r="B560" t="s">
        <v>1252</v>
      </c>
      <c r="C560" t="s">
        <v>1262</v>
      </c>
      <c r="D560" s="3" t="s">
        <v>1321</v>
      </c>
      <c r="E560" s="7">
        <v>17</v>
      </c>
      <c r="F560">
        <f t="shared" si="136"/>
        <v>23.799999999999997</v>
      </c>
      <c r="G560">
        <f t="shared" si="137"/>
        <v>26.18</v>
      </c>
      <c r="I560">
        <f t="shared" si="138"/>
        <v>0</v>
      </c>
      <c r="J560">
        <f t="shared" si="139"/>
        <v>0</v>
      </c>
      <c r="K560" s="7" t="s">
        <v>1322</v>
      </c>
    </row>
    <row r="561" spans="2:11">
      <c r="B561" t="s">
        <v>1252</v>
      </c>
      <c r="C561" t="s">
        <v>1263</v>
      </c>
      <c r="D561" s="3" t="s">
        <v>1323</v>
      </c>
      <c r="E561" s="7">
        <v>21</v>
      </c>
      <c r="F561">
        <f t="shared" si="136"/>
        <v>29.4</v>
      </c>
      <c r="G561">
        <f t="shared" si="137"/>
        <v>32.340000000000003</v>
      </c>
      <c r="I561">
        <f t="shared" si="138"/>
        <v>0</v>
      </c>
      <c r="J561">
        <f t="shared" si="139"/>
        <v>0</v>
      </c>
      <c r="K561" s="7" t="s">
        <v>1324</v>
      </c>
    </row>
    <row r="562" spans="2:11">
      <c r="B562" t="s">
        <v>1252</v>
      </c>
      <c r="C562" t="s">
        <v>1265</v>
      </c>
      <c r="E562" s="7">
        <v>37</v>
      </c>
      <c r="F562">
        <f t="shared" si="136"/>
        <v>51.8</v>
      </c>
      <c r="G562">
        <f t="shared" si="137"/>
        <v>56.980000000000004</v>
      </c>
      <c r="H562" s="7">
        <v>700</v>
      </c>
      <c r="I562">
        <f t="shared" si="138"/>
        <v>979.99999999999989</v>
      </c>
      <c r="J562">
        <f t="shared" si="139"/>
        <v>1078</v>
      </c>
      <c r="K562" s="7" t="s">
        <v>1327</v>
      </c>
    </row>
    <row r="563" spans="2:11">
      <c r="B563" t="s">
        <v>1252</v>
      </c>
      <c r="C563" t="s">
        <v>1266</v>
      </c>
      <c r="D563" s="3" t="s">
        <v>1328</v>
      </c>
      <c r="E563" s="7">
        <v>15</v>
      </c>
      <c r="F563">
        <f t="shared" si="136"/>
        <v>21</v>
      </c>
      <c r="G563">
        <f t="shared" si="137"/>
        <v>23.1</v>
      </c>
      <c r="H563" s="7">
        <v>170</v>
      </c>
      <c r="I563">
        <f t="shared" si="138"/>
        <v>237.99999999999997</v>
      </c>
      <c r="J563">
        <f t="shared" si="139"/>
        <v>261.8</v>
      </c>
      <c r="K563" s="7" t="s">
        <v>1329</v>
      </c>
    </row>
    <row r="564" spans="2:11">
      <c r="B564" t="s">
        <v>1252</v>
      </c>
      <c r="C564" t="s">
        <v>1269</v>
      </c>
      <c r="E564" s="7">
        <v>15</v>
      </c>
      <c r="F564">
        <f t="shared" si="136"/>
        <v>21</v>
      </c>
      <c r="G564">
        <f t="shared" si="137"/>
        <v>23.1</v>
      </c>
      <c r="H564" s="7">
        <v>250</v>
      </c>
      <c r="I564">
        <f t="shared" si="138"/>
        <v>350</v>
      </c>
      <c r="J564">
        <f t="shared" si="139"/>
        <v>385.00000000000006</v>
      </c>
      <c r="K564" s="7" t="s">
        <v>1333</v>
      </c>
    </row>
    <row r="565" spans="2:11">
      <c r="B565" t="s">
        <v>1252</v>
      </c>
      <c r="C565" t="s">
        <v>1268</v>
      </c>
      <c r="D565" s="3" t="s">
        <v>1331</v>
      </c>
      <c r="E565" s="7">
        <v>5</v>
      </c>
      <c r="F565">
        <f t="shared" si="136"/>
        <v>7</v>
      </c>
      <c r="G565">
        <f t="shared" si="137"/>
        <v>7.7000000000000011</v>
      </c>
      <c r="H565" s="7">
        <v>50</v>
      </c>
      <c r="I565">
        <f t="shared" si="138"/>
        <v>70</v>
      </c>
      <c r="J565">
        <f t="shared" si="139"/>
        <v>77</v>
      </c>
      <c r="K565" s="7" t="s">
        <v>1332</v>
      </c>
    </row>
    <row r="566" spans="2:11">
      <c r="B566" t="s">
        <v>1252</v>
      </c>
      <c r="C566" t="s">
        <v>1254</v>
      </c>
      <c r="D566" s="3" t="s">
        <v>1311</v>
      </c>
      <c r="F566">
        <f t="shared" si="136"/>
        <v>0</v>
      </c>
      <c r="G566">
        <f t="shared" si="137"/>
        <v>0</v>
      </c>
      <c r="H566" s="7">
        <v>190</v>
      </c>
      <c r="I566">
        <f t="shared" si="138"/>
        <v>266</v>
      </c>
      <c r="J566">
        <f t="shared" si="139"/>
        <v>292.60000000000002</v>
      </c>
      <c r="K566" s="7" t="s">
        <v>1312</v>
      </c>
    </row>
    <row r="567" spans="2:11">
      <c r="B567" t="s">
        <v>1252</v>
      </c>
      <c r="C567" t="s">
        <v>1261</v>
      </c>
      <c r="E567" s="7">
        <v>10</v>
      </c>
      <c r="F567">
        <f t="shared" si="136"/>
        <v>14</v>
      </c>
      <c r="G567">
        <f t="shared" si="137"/>
        <v>15.400000000000002</v>
      </c>
      <c r="H567" s="7">
        <v>120</v>
      </c>
      <c r="I567">
        <f t="shared" si="138"/>
        <v>168</v>
      </c>
      <c r="J567">
        <f t="shared" si="139"/>
        <v>184.8</v>
      </c>
      <c r="K567" s="7" t="s">
        <v>1320</v>
      </c>
    </row>
    <row r="568" spans="2:11">
      <c r="B568" t="s">
        <v>1252</v>
      </c>
      <c r="C568" t="s">
        <v>1260</v>
      </c>
      <c r="E568" s="7">
        <v>5</v>
      </c>
      <c r="F568">
        <f t="shared" si="136"/>
        <v>7</v>
      </c>
      <c r="G568">
        <f t="shared" si="137"/>
        <v>7.7000000000000011</v>
      </c>
      <c r="H568" s="7">
        <v>80</v>
      </c>
      <c r="I568">
        <f t="shared" si="138"/>
        <v>112</v>
      </c>
      <c r="J568">
        <f t="shared" si="139"/>
        <v>123.20000000000002</v>
      </c>
      <c r="K568" s="7" t="s">
        <v>1319</v>
      </c>
    </row>
    <row r="569" spans="2:11">
      <c r="B569" t="s">
        <v>1252</v>
      </c>
      <c r="C569" t="s">
        <v>1255</v>
      </c>
      <c r="E569" s="7">
        <v>12</v>
      </c>
      <c r="F569">
        <f t="shared" si="136"/>
        <v>16.799999999999997</v>
      </c>
      <c r="G569">
        <f t="shared" si="137"/>
        <v>18.479999999999997</v>
      </c>
      <c r="H569" s="7">
        <v>87</v>
      </c>
      <c r="I569">
        <f t="shared" si="138"/>
        <v>121.8</v>
      </c>
      <c r="J569">
        <f t="shared" si="139"/>
        <v>133.98000000000002</v>
      </c>
      <c r="K569" s="7" t="s">
        <v>1313</v>
      </c>
    </row>
    <row r="570" spans="2:11">
      <c r="B570" t="s">
        <v>1252</v>
      </c>
      <c r="C570" t="s">
        <v>1259</v>
      </c>
      <c r="E570" s="7">
        <v>12</v>
      </c>
      <c r="F570">
        <f t="shared" si="136"/>
        <v>16.799999999999997</v>
      </c>
      <c r="G570">
        <f t="shared" si="137"/>
        <v>18.479999999999997</v>
      </c>
      <c r="H570" s="7">
        <v>240</v>
      </c>
      <c r="I570">
        <f t="shared" si="138"/>
        <v>336</v>
      </c>
      <c r="J570">
        <f t="shared" si="139"/>
        <v>369.6</v>
      </c>
      <c r="K570" s="7" t="s">
        <v>1318</v>
      </c>
    </row>
    <row r="571" spans="2:11">
      <c r="B571" t="s">
        <v>1252</v>
      </c>
      <c r="C571" t="s">
        <v>1264</v>
      </c>
      <c r="D571" s="3" t="s">
        <v>1325</v>
      </c>
      <c r="E571" s="7">
        <v>18</v>
      </c>
      <c r="F571">
        <f t="shared" si="136"/>
        <v>25.2</v>
      </c>
      <c r="G571">
        <f t="shared" si="137"/>
        <v>27.720000000000002</v>
      </c>
      <c r="I571">
        <f t="shared" si="138"/>
        <v>0</v>
      </c>
      <c r="J571">
        <f t="shared" si="139"/>
        <v>0</v>
      </c>
      <c r="K571" s="7" t="s">
        <v>1326</v>
      </c>
    </row>
    <row r="572" spans="2:11">
      <c r="B572" t="s">
        <v>1252</v>
      </c>
      <c r="C572" t="s">
        <v>1257</v>
      </c>
      <c r="E572" s="7">
        <v>21</v>
      </c>
      <c r="F572">
        <f t="shared" si="136"/>
        <v>29.4</v>
      </c>
      <c r="G572">
        <f t="shared" si="137"/>
        <v>32.340000000000003</v>
      </c>
      <c r="H572" s="7">
        <v>200</v>
      </c>
      <c r="I572">
        <f t="shared" si="138"/>
        <v>280</v>
      </c>
      <c r="J572">
        <f t="shared" si="139"/>
        <v>308</v>
      </c>
      <c r="K572" s="7" t="s">
        <v>1316</v>
      </c>
    </row>
    <row r="573" spans="2:11">
      <c r="F573">
        <f t="shared" si="120"/>
        <v>0</v>
      </c>
      <c r="G573">
        <f t="shared" ref="G573:G613" si="140">F573*1.1</f>
        <v>0</v>
      </c>
      <c r="I573">
        <f t="shared" ref="I573:I613" si="141">H573*1.4</f>
        <v>0</v>
      </c>
      <c r="J573">
        <f t="shared" ref="J573:J613" si="142">I573*1.1</f>
        <v>0</v>
      </c>
    </row>
    <row r="574" spans="2:11">
      <c r="B574" t="s">
        <v>1270</v>
      </c>
      <c r="C574" t="s">
        <v>1278</v>
      </c>
      <c r="E574" s="7">
        <v>13</v>
      </c>
      <c r="F574">
        <f t="shared" ref="F574:F599" si="143">E574*1.4</f>
        <v>18.2</v>
      </c>
      <c r="G574">
        <f t="shared" ref="G574:G599" si="144">F574*1.1</f>
        <v>20.02</v>
      </c>
      <c r="H574" s="7">
        <v>40</v>
      </c>
      <c r="I574">
        <f t="shared" ref="I574:I599" si="145">H574*1.4</f>
        <v>56</v>
      </c>
      <c r="J574">
        <f t="shared" ref="J574:J599" si="146">I574*1.1</f>
        <v>61.600000000000009</v>
      </c>
      <c r="K574" s="7" t="s">
        <v>1341</v>
      </c>
    </row>
    <row r="575" spans="2:11">
      <c r="B575" t="s">
        <v>1270</v>
      </c>
      <c r="C575" t="s">
        <v>1277</v>
      </c>
      <c r="E575" s="7">
        <v>13</v>
      </c>
      <c r="F575">
        <f t="shared" si="143"/>
        <v>18.2</v>
      </c>
      <c r="G575">
        <f t="shared" si="144"/>
        <v>20.02</v>
      </c>
      <c r="H575" s="7">
        <v>43</v>
      </c>
      <c r="I575">
        <f t="shared" si="145"/>
        <v>60.199999999999996</v>
      </c>
      <c r="J575">
        <f t="shared" si="146"/>
        <v>66.22</v>
      </c>
      <c r="K575" s="7" t="s">
        <v>1340</v>
      </c>
    </row>
    <row r="576" spans="2:11">
      <c r="B576" t="s">
        <v>1270</v>
      </c>
      <c r="C576" t="s">
        <v>1285</v>
      </c>
      <c r="E576" s="7">
        <v>5</v>
      </c>
      <c r="F576">
        <f t="shared" si="143"/>
        <v>7</v>
      </c>
      <c r="G576">
        <f t="shared" si="144"/>
        <v>7.7000000000000011</v>
      </c>
      <c r="H576" s="7">
        <v>68</v>
      </c>
      <c r="I576">
        <f t="shared" si="145"/>
        <v>95.199999999999989</v>
      </c>
      <c r="J576">
        <f t="shared" si="146"/>
        <v>104.72</v>
      </c>
      <c r="K576" s="7" t="s">
        <v>1350</v>
      </c>
    </row>
    <row r="577" spans="2:11">
      <c r="B577" t="s">
        <v>1270</v>
      </c>
      <c r="C577" t="s">
        <v>1276</v>
      </c>
      <c r="E577" s="7">
        <v>14</v>
      </c>
      <c r="F577">
        <f t="shared" si="143"/>
        <v>19.599999999999998</v>
      </c>
      <c r="G577">
        <f t="shared" si="144"/>
        <v>21.56</v>
      </c>
      <c r="H577" s="7">
        <v>55</v>
      </c>
      <c r="I577">
        <f t="shared" si="145"/>
        <v>77</v>
      </c>
      <c r="J577">
        <f t="shared" si="146"/>
        <v>84.7</v>
      </c>
      <c r="K577" s="7" t="s">
        <v>1339</v>
      </c>
    </row>
    <row r="578" spans="2:11">
      <c r="B578" t="s">
        <v>1270</v>
      </c>
      <c r="C578" t="s">
        <v>1274</v>
      </c>
      <c r="E578" s="7">
        <v>10</v>
      </c>
      <c r="F578">
        <f t="shared" si="143"/>
        <v>14</v>
      </c>
      <c r="G578">
        <f t="shared" si="144"/>
        <v>15.400000000000002</v>
      </c>
      <c r="H578" s="7">
        <v>94</v>
      </c>
      <c r="I578">
        <f t="shared" si="145"/>
        <v>131.6</v>
      </c>
      <c r="J578">
        <f t="shared" si="146"/>
        <v>144.76000000000002</v>
      </c>
      <c r="K578" s="7" t="s">
        <v>1337</v>
      </c>
    </row>
    <row r="579" spans="2:11">
      <c r="B579" t="s">
        <v>1270</v>
      </c>
      <c r="C579" t="s">
        <v>1273</v>
      </c>
      <c r="E579" s="7">
        <v>10</v>
      </c>
      <c r="F579">
        <f t="shared" si="143"/>
        <v>14</v>
      </c>
      <c r="G579">
        <f t="shared" si="144"/>
        <v>15.400000000000002</v>
      </c>
      <c r="H579" s="7">
        <v>94</v>
      </c>
      <c r="I579">
        <f t="shared" si="145"/>
        <v>131.6</v>
      </c>
      <c r="J579">
        <f t="shared" si="146"/>
        <v>144.76000000000002</v>
      </c>
      <c r="K579" s="7" t="s">
        <v>1336</v>
      </c>
    </row>
    <row r="580" spans="2:11">
      <c r="B580" t="s">
        <v>1270</v>
      </c>
      <c r="C580" t="s">
        <v>1275</v>
      </c>
      <c r="E580" s="7">
        <v>15</v>
      </c>
      <c r="F580">
        <f t="shared" si="143"/>
        <v>21</v>
      </c>
      <c r="G580">
        <f t="shared" si="144"/>
        <v>23.1</v>
      </c>
      <c r="H580" s="7">
        <v>276</v>
      </c>
      <c r="I580">
        <f t="shared" si="145"/>
        <v>386.4</v>
      </c>
      <c r="J580">
        <f t="shared" si="146"/>
        <v>425.04</v>
      </c>
      <c r="K580" s="7" t="s">
        <v>1338</v>
      </c>
    </row>
    <row r="581" spans="2:11">
      <c r="B581" t="s">
        <v>1270</v>
      </c>
      <c r="C581" t="s">
        <v>1272</v>
      </c>
      <c r="E581" s="7">
        <v>10</v>
      </c>
      <c r="F581">
        <f t="shared" si="143"/>
        <v>14</v>
      </c>
      <c r="G581">
        <f t="shared" si="144"/>
        <v>15.400000000000002</v>
      </c>
      <c r="H581" s="7">
        <v>94</v>
      </c>
      <c r="I581">
        <f t="shared" si="145"/>
        <v>131.6</v>
      </c>
      <c r="J581">
        <f t="shared" si="146"/>
        <v>144.76000000000002</v>
      </c>
      <c r="K581" s="7" t="s">
        <v>1335</v>
      </c>
    </row>
    <row r="582" spans="2:11">
      <c r="B582" t="s">
        <v>1270</v>
      </c>
      <c r="C582" t="s">
        <v>1295</v>
      </c>
      <c r="E582" s="7">
        <v>15</v>
      </c>
      <c r="F582">
        <f t="shared" si="143"/>
        <v>21</v>
      </c>
      <c r="G582">
        <f t="shared" si="144"/>
        <v>23.1</v>
      </c>
      <c r="H582" s="7">
        <v>136</v>
      </c>
      <c r="I582">
        <f t="shared" si="145"/>
        <v>190.39999999999998</v>
      </c>
      <c r="J582">
        <f t="shared" si="146"/>
        <v>209.44</v>
      </c>
      <c r="K582" s="7" t="s">
        <v>1360</v>
      </c>
    </row>
    <row r="583" spans="2:11">
      <c r="B583" t="s">
        <v>1270</v>
      </c>
      <c r="C583" t="s">
        <v>1294</v>
      </c>
      <c r="E583" s="7">
        <v>15</v>
      </c>
      <c r="F583">
        <f t="shared" si="143"/>
        <v>21</v>
      </c>
      <c r="G583">
        <f t="shared" si="144"/>
        <v>23.1</v>
      </c>
      <c r="H583" s="7">
        <v>135</v>
      </c>
      <c r="I583">
        <f t="shared" si="145"/>
        <v>189</v>
      </c>
      <c r="J583">
        <f t="shared" si="146"/>
        <v>207.9</v>
      </c>
      <c r="K583" s="7" t="s">
        <v>1359</v>
      </c>
    </row>
    <row r="584" spans="2:11">
      <c r="B584" t="s">
        <v>1270</v>
      </c>
      <c r="C584" t="s">
        <v>1286</v>
      </c>
      <c r="E584" s="7">
        <v>4</v>
      </c>
      <c r="F584">
        <f t="shared" si="143"/>
        <v>5.6</v>
      </c>
      <c r="G584">
        <f t="shared" si="144"/>
        <v>6.16</v>
      </c>
      <c r="H584" s="7">
        <v>33</v>
      </c>
      <c r="I584">
        <f t="shared" si="145"/>
        <v>46.199999999999996</v>
      </c>
      <c r="J584">
        <f t="shared" si="146"/>
        <v>50.82</v>
      </c>
      <c r="K584" s="7" t="s">
        <v>1351</v>
      </c>
    </row>
    <row r="585" spans="2:11">
      <c r="B585" t="s">
        <v>1270</v>
      </c>
      <c r="C585" t="s">
        <v>1280</v>
      </c>
      <c r="E585" s="7">
        <v>17</v>
      </c>
      <c r="F585">
        <f t="shared" si="143"/>
        <v>23.799999999999997</v>
      </c>
      <c r="G585">
        <f t="shared" si="144"/>
        <v>26.18</v>
      </c>
      <c r="H585" s="7">
        <v>630</v>
      </c>
      <c r="I585">
        <f t="shared" si="145"/>
        <v>882</v>
      </c>
      <c r="J585">
        <f t="shared" si="146"/>
        <v>970.2</v>
      </c>
      <c r="K585" s="7" t="s">
        <v>1343</v>
      </c>
    </row>
    <row r="586" spans="2:11">
      <c r="B586" t="s">
        <v>1270</v>
      </c>
      <c r="C586" t="s">
        <v>1284</v>
      </c>
      <c r="E586" s="7">
        <v>6</v>
      </c>
      <c r="F586">
        <f t="shared" si="143"/>
        <v>8.3999999999999986</v>
      </c>
      <c r="G586">
        <f t="shared" si="144"/>
        <v>9.2399999999999984</v>
      </c>
      <c r="H586" s="7">
        <v>120</v>
      </c>
      <c r="I586">
        <f t="shared" si="145"/>
        <v>168</v>
      </c>
      <c r="J586">
        <f t="shared" si="146"/>
        <v>184.8</v>
      </c>
      <c r="K586" s="7" t="s">
        <v>1349</v>
      </c>
    </row>
    <row r="587" spans="2:11">
      <c r="B587" t="s">
        <v>1270</v>
      </c>
      <c r="C587" t="s">
        <v>1289</v>
      </c>
      <c r="E587" s="7">
        <v>4</v>
      </c>
      <c r="F587">
        <f t="shared" si="143"/>
        <v>5.6</v>
      </c>
      <c r="G587">
        <f t="shared" si="144"/>
        <v>6.16</v>
      </c>
      <c r="H587" s="7">
        <v>65</v>
      </c>
      <c r="I587">
        <f t="shared" si="145"/>
        <v>91</v>
      </c>
      <c r="J587">
        <f t="shared" si="146"/>
        <v>100.10000000000001</v>
      </c>
      <c r="K587" s="7" t="s">
        <v>1354</v>
      </c>
    </row>
    <row r="588" spans="2:11">
      <c r="B588" t="s">
        <v>1270</v>
      </c>
      <c r="C588" t="s">
        <v>1287</v>
      </c>
      <c r="E588" s="7">
        <v>6</v>
      </c>
      <c r="F588">
        <f t="shared" si="143"/>
        <v>8.3999999999999986</v>
      </c>
      <c r="G588">
        <f t="shared" si="144"/>
        <v>9.2399999999999984</v>
      </c>
      <c r="I588">
        <f t="shared" si="145"/>
        <v>0</v>
      </c>
      <c r="J588">
        <f t="shared" si="146"/>
        <v>0</v>
      </c>
      <c r="K588" s="7" t="s">
        <v>1352</v>
      </c>
    </row>
    <row r="589" spans="2:11">
      <c r="B589" t="s">
        <v>1270</v>
      </c>
      <c r="C589" t="s">
        <v>1293</v>
      </c>
      <c r="E589" s="7">
        <v>5</v>
      </c>
      <c r="F589">
        <f t="shared" si="143"/>
        <v>7</v>
      </c>
      <c r="G589">
        <f t="shared" si="144"/>
        <v>7.7000000000000011</v>
      </c>
      <c r="I589">
        <f t="shared" si="145"/>
        <v>0</v>
      </c>
      <c r="J589">
        <f t="shared" si="146"/>
        <v>0</v>
      </c>
      <c r="K589" s="7" t="s">
        <v>1358</v>
      </c>
    </row>
    <row r="590" spans="2:11">
      <c r="B590" t="s">
        <v>1270</v>
      </c>
      <c r="C590" t="s">
        <v>1292</v>
      </c>
      <c r="E590" s="7">
        <v>9</v>
      </c>
      <c r="F590">
        <f t="shared" si="143"/>
        <v>12.6</v>
      </c>
      <c r="G590">
        <f t="shared" si="144"/>
        <v>13.860000000000001</v>
      </c>
      <c r="H590" s="7">
        <v>307</v>
      </c>
      <c r="I590">
        <f t="shared" si="145"/>
        <v>429.79999999999995</v>
      </c>
      <c r="J590">
        <f t="shared" si="146"/>
        <v>472.78</v>
      </c>
      <c r="K590" s="7" t="s">
        <v>1357</v>
      </c>
    </row>
    <row r="591" spans="2:11">
      <c r="B591" t="s">
        <v>1270</v>
      </c>
      <c r="C591" t="s">
        <v>1283</v>
      </c>
      <c r="E591" s="7">
        <v>20</v>
      </c>
      <c r="F591">
        <f t="shared" si="143"/>
        <v>28</v>
      </c>
      <c r="G591">
        <f t="shared" si="144"/>
        <v>30.800000000000004</v>
      </c>
      <c r="H591" s="7">
        <v>293</v>
      </c>
      <c r="I591">
        <f t="shared" si="145"/>
        <v>410.2</v>
      </c>
      <c r="J591">
        <f t="shared" si="146"/>
        <v>451.22</v>
      </c>
      <c r="K591" s="7" t="s">
        <v>1346</v>
      </c>
    </row>
    <row r="592" spans="2:11">
      <c r="B592" t="s">
        <v>1270</v>
      </c>
      <c r="C592" t="s">
        <v>1271</v>
      </c>
      <c r="E592" s="7">
        <v>55</v>
      </c>
      <c r="F592">
        <f t="shared" si="143"/>
        <v>77</v>
      </c>
      <c r="G592">
        <f t="shared" si="144"/>
        <v>84.7</v>
      </c>
      <c r="H592" s="7">
        <v>2210</v>
      </c>
      <c r="I592">
        <f t="shared" si="145"/>
        <v>3094</v>
      </c>
      <c r="J592">
        <f t="shared" si="146"/>
        <v>3403.4</v>
      </c>
      <c r="K592" s="7" t="s">
        <v>1334</v>
      </c>
    </row>
    <row r="593" spans="2:11">
      <c r="B593" t="s">
        <v>1270</v>
      </c>
      <c r="C593" t="s">
        <v>1282</v>
      </c>
      <c r="E593" s="7">
        <v>65</v>
      </c>
      <c r="F593">
        <f t="shared" si="143"/>
        <v>91</v>
      </c>
      <c r="G593">
        <f t="shared" si="144"/>
        <v>100.10000000000001</v>
      </c>
      <c r="H593" s="7">
        <v>934</v>
      </c>
      <c r="I593">
        <f t="shared" si="145"/>
        <v>1307.5999999999999</v>
      </c>
      <c r="J593">
        <f t="shared" si="146"/>
        <v>1438.3600000000001</v>
      </c>
      <c r="K593" s="7" t="s">
        <v>1345</v>
      </c>
    </row>
    <row r="594" spans="2:11">
      <c r="B594" t="s">
        <v>1270</v>
      </c>
      <c r="C594" t="s">
        <v>1281</v>
      </c>
      <c r="E594" s="7">
        <v>35</v>
      </c>
      <c r="F594">
        <f t="shared" si="143"/>
        <v>49</v>
      </c>
      <c r="G594">
        <f t="shared" si="144"/>
        <v>53.900000000000006</v>
      </c>
      <c r="H594" s="7">
        <v>815</v>
      </c>
      <c r="I594">
        <f t="shared" si="145"/>
        <v>1141</v>
      </c>
      <c r="J594">
        <f t="shared" si="146"/>
        <v>1255.1000000000001</v>
      </c>
      <c r="K594" s="7" t="s">
        <v>1344</v>
      </c>
    </row>
    <row r="595" spans="2:11">
      <c r="B595" t="s">
        <v>1270</v>
      </c>
      <c r="C595" t="s">
        <v>1291</v>
      </c>
      <c r="E595" s="7">
        <v>15</v>
      </c>
      <c r="F595">
        <f t="shared" si="143"/>
        <v>21</v>
      </c>
      <c r="G595">
        <f t="shared" si="144"/>
        <v>23.1</v>
      </c>
      <c r="H595" s="7">
        <v>494</v>
      </c>
      <c r="I595">
        <f t="shared" si="145"/>
        <v>691.59999999999991</v>
      </c>
      <c r="J595">
        <f t="shared" si="146"/>
        <v>760.76</v>
      </c>
      <c r="K595" s="7" t="s">
        <v>1356</v>
      </c>
    </row>
    <row r="596" spans="2:11">
      <c r="B596" t="s">
        <v>1270</v>
      </c>
      <c r="C596" t="s">
        <v>1288</v>
      </c>
      <c r="E596" s="7">
        <v>4</v>
      </c>
      <c r="F596">
        <f t="shared" si="143"/>
        <v>5.6</v>
      </c>
      <c r="G596">
        <f t="shared" si="144"/>
        <v>6.16</v>
      </c>
      <c r="H596" s="7">
        <v>70</v>
      </c>
      <c r="I596">
        <f t="shared" si="145"/>
        <v>98</v>
      </c>
      <c r="J596">
        <f t="shared" si="146"/>
        <v>107.80000000000001</v>
      </c>
      <c r="K596" s="7" t="s">
        <v>1353</v>
      </c>
    </row>
    <row r="597" spans="2:11">
      <c r="B597" t="s">
        <v>1270</v>
      </c>
      <c r="C597" t="s">
        <v>1279</v>
      </c>
      <c r="E597" s="7">
        <v>20</v>
      </c>
      <c r="F597">
        <f t="shared" si="143"/>
        <v>28</v>
      </c>
      <c r="G597">
        <f t="shared" si="144"/>
        <v>30.800000000000004</v>
      </c>
      <c r="H597" s="7">
        <v>400</v>
      </c>
      <c r="I597">
        <f t="shared" si="145"/>
        <v>560</v>
      </c>
      <c r="J597">
        <f t="shared" si="146"/>
        <v>616</v>
      </c>
      <c r="K597" s="7" t="s">
        <v>1342</v>
      </c>
    </row>
    <row r="598" spans="2:11">
      <c r="B598" t="s">
        <v>1270</v>
      </c>
      <c r="C598" t="s">
        <v>1290</v>
      </c>
      <c r="E598" s="7">
        <v>6</v>
      </c>
      <c r="F598">
        <f t="shared" si="143"/>
        <v>8.3999999999999986</v>
      </c>
      <c r="G598">
        <f t="shared" si="144"/>
        <v>9.2399999999999984</v>
      </c>
      <c r="H598" s="7">
        <v>112</v>
      </c>
      <c r="I598">
        <f t="shared" si="145"/>
        <v>156.79999999999998</v>
      </c>
      <c r="J598">
        <f t="shared" si="146"/>
        <v>172.48</v>
      </c>
      <c r="K598" s="7" t="s">
        <v>1355</v>
      </c>
    </row>
    <row r="599" spans="2:11">
      <c r="B599" t="s">
        <v>1270</v>
      </c>
      <c r="C599" t="s">
        <v>1348</v>
      </c>
      <c r="E599" s="7">
        <v>6</v>
      </c>
      <c r="F599">
        <f t="shared" si="143"/>
        <v>8.3999999999999986</v>
      </c>
      <c r="G599">
        <f t="shared" si="144"/>
        <v>9.2399999999999984</v>
      </c>
      <c r="H599" s="7">
        <v>92</v>
      </c>
      <c r="I599">
        <f t="shared" si="145"/>
        <v>128.79999999999998</v>
      </c>
      <c r="J599">
        <f t="shared" si="146"/>
        <v>141.68</v>
      </c>
      <c r="K599" s="7" t="s">
        <v>1347</v>
      </c>
    </row>
    <row r="600" spans="2:11">
      <c r="F600">
        <f t="shared" ref="F600:F613" si="147">E600*1.4</f>
        <v>0</v>
      </c>
      <c r="G600">
        <f t="shared" si="140"/>
        <v>0</v>
      </c>
      <c r="I600">
        <f t="shared" si="141"/>
        <v>0</v>
      </c>
      <c r="J600">
        <f t="shared" si="142"/>
        <v>0</v>
      </c>
    </row>
    <row r="601" spans="2:11">
      <c r="B601" t="s">
        <v>1296</v>
      </c>
      <c r="C601" t="s">
        <v>1297</v>
      </c>
      <c r="D601" s="3" t="s">
        <v>1361</v>
      </c>
      <c r="E601" s="7">
        <v>29</v>
      </c>
      <c r="F601">
        <f t="shared" si="147"/>
        <v>40.599999999999994</v>
      </c>
      <c r="G601">
        <f t="shared" si="140"/>
        <v>44.66</v>
      </c>
      <c r="H601" s="7">
        <v>200</v>
      </c>
      <c r="I601">
        <f t="shared" si="141"/>
        <v>280</v>
      </c>
      <c r="J601">
        <f t="shared" si="142"/>
        <v>308</v>
      </c>
      <c r="K601" s="7" t="s">
        <v>1362</v>
      </c>
    </row>
    <row r="602" spans="2:11">
      <c r="F602">
        <f t="shared" si="147"/>
        <v>0</v>
      </c>
      <c r="G602">
        <f t="shared" si="140"/>
        <v>0</v>
      </c>
      <c r="I602">
        <f t="shared" si="141"/>
        <v>0</v>
      </c>
      <c r="J602">
        <f t="shared" si="142"/>
        <v>0</v>
      </c>
    </row>
    <row r="603" spans="2:11">
      <c r="B603" t="s">
        <v>1300</v>
      </c>
      <c r="C603" t="s">
        <v>1299</v>
      </c>
      <c r="E603" s="7">
        <v>15</v>
      </c>
      <c r="F603">
        <f>E603*1.4</f>
        <v>21</v>
      </c>
      <c r="G603">
        <f t="shared" si="140"/>
        <v>23.1</v>
      </c>
      <c r="H603" s="7">
        <v>20</v>
      </c>
      <c r="I603">
        <f>H603*1.4</f>
        <v>28</v>
      </c>
      <c r="J603">
        <f>I603*1.1</f>
        <v>30.800000000000004</v>
      </c>
      <c r="K603" s="7" t="s">
        <v>1364</v>
      </c>
    </row>
    <row r="604" spans="2:11">
      <c r="B604" t="s">
        <v>1300</v>
      </c>
      <c r="C604" t="s">
        <v>1298</v>
      </c>
      <c r="E604" s="7">
        <v>25</v>
      </c>
      <c r="F604">
        <f>E604*1.4</f>
        <v>35</v>
      </c>
      <c r="G604">
        <f t="shared" si="140"/>
        <v>38.5</v>
      </c>
      <c r="I604">
        <f>H604*1.4</f>
        <v>0</v>
      </c>
      <c r="J604">
        <f>I604*1.1</f>
        <v>0</v>
      </c>
      <c r="K604" s="7" t="s">
        <v>1363</v>
      </c>
    </row>
    <row r="605" spans="2:11">
      <c r="F605">
        <f t="shared" si="147"/>
        <v>0</v>
      </c>
      <c r="G605">
        <f t="shared" si="140"/>
        <v>0</v>
      </c>
      <c r="I605">
        <f t="shared" si="141"/>
        <v>0</v>
      </c>
      <c r="J605">
        <f t="shared" si="142"/>
        <v>0</v>
      </c>
    </row>
    <row r="606" spans="2:11">
      <c r="B606" t="s">
        <v>1301</v>
      </c>
      <c r="C606" t="s">
        <v>1371</v>
      </c>
      <c r="D606" s="3" t="s">
        <v>1372</v>
      </c>
      <c r="E606" s="7">
        <v>20</v>
      </c>
      <c r="F606">
        <f t="shared" ref="F606:F611" si="148">E606*1.4</f>
        <v>28</v>
      </c>
      <c r="G606">
        <f t="shared" si="140"/>
        <v>30.800000000000004</v>
      </c>
      <c r="H606" s="7">
        <v>449</v>
      </c>
      <c r="I606">
        <f t="shared" ref="I606:I611" si="149">H606*1.4</f>
        <v>628.59999999999991</v>
      </c>
      <c r="J606">
        <f t="shared" ref="J606:J611" si="150">I606*1.1</f>
        <v>691.45999999999992</v>
      </c>
      <c r="K606" s="7" t="s">
        <v>1370</v>
      </c>
    </row>
    <row r="607" spans="2:11">
      <c r="B607" t="s">
        <v>1301</v>
      </c>
      <c r="C607" t="s">
        <v>1306</v>
      </c>
      <c r="E607" s="7">
        <v>15</v>
      </c>
      <c r="F607">
        <f t="shared" si="148"/>
        <v>21</v>
      </c>
      <c r="G607">
        <f t="shared" si="140"/>
        <v>23.1</v>
      </c>
      <c r="H607" s="7">
        <v>599</v>
      </c>
      <c r="I607">
        <f t="shared" si="149"/>
        <v>838.59999999999991</v>
      </c>
      <c r="J607">
        <f t="shared" si="150"/>
        <v>922.45999999999992</v>
      </c>
      <c r="K607" s="7" t="s">
        <v>1369</v>
      </c>
    </row>
    <row r="608" spans="2:11">
      <c r="B608" t="s">
        <v>1301</v>
      </c>
      <c r="C608" t="s">
        <v>1302</v>
      </c>
      <c r="E608" s="7">
        <v>20</v>
      </c>
      <c r="F608">
        <f t="shared" si="148"/>
        <v>28</v>
      </c>
      <c r="G608">
        <f t="shared" si="140"/>
        <v>30.800000000000004</v>
      </c>
      <c r="H608" s="7">
        <v>400</v>
      </c>
      <c r="I608">
        <f t="shared" si="149"/>
        <v>560</v>
      </c>
      <c r="J608">
        <f t="shared" si="150"/>
        <v>616</v>
      </c>
      <c r="K608" s="7" t="s">
        <v>1365</v>
      </c>
    </row>
    <row r="609" spans="1:11">
      <c r="B609" t="s">
        <v>1301</v>
      </c>
      <c r="C609" t="s">
        <v>1304</v>
      </c>
      <c r="F609">
        <f t="shared" si="148"/>
        <v>0</v>
      </c>
      <c r="G609">
        <f t="shared" si="140"/>
        <v>0</v>
      </c>
      <c r="H609" s="7">
        <v>450</v>
      </c>
      <c r="I609">
        <f t="shared" si="149"/>
        <v>630</v>
      </c>
      <c r="J609">
        <f t="shared" si="150"/>
        <v>693</v>
      </c>
      <c r="K609" s="7" t="s">
        <v>1368</v>
      </c>
    </row>
    <row r="610" spans="1:11">
      <c r="B610" t="s">
        <v>1301</v>
      </c>
      <c r="C610" t="s">
        <v>1305</v>
      </c>
      <c r="E610" s="7">
        <v>15</v>
      </c>
      <c r="F610">
        <f t="shared" si="148"/>
        <v>21</v>
      </c>
      <c r="G610">
        <f t="shared" si="140"/>
        <v>23.1</v>
      </c>
      <c r="H610" s="7">
        <v>650</v>
      </c>
      <c r="I610">
        <f t="shared" si="149"/>
        <v>909.99999999999989</v>
      </c>
      <c r="J610">
        <f t="shared" si="150"/>
        <v>1001</v>
      </c>
      <c r="K610" s="7" t="s">
        <v>1366</v>
      </c>
    </row>
    <row r="611" spans="1:11">
      <c r="B611" t="s">
        <v>1301</v>
      </c>
      <c r="C611" t="s">
        <v>1303</v>
      </c>
      <c r="E611" s="7">
        <v>30</v>
      </c>
      <c r="F611">
        <f t="shared" si="148"/>
        <v>42</v>
      </c>
      <c r="G611">
        <f t="shared" si="140"/>
        <v>46.2</v>
      </c>
      <c r="H611" s="7">
        <v>500</v>
      </c>
      <c r="I611">
        <f t="shared" si="149"/>
        <v>700</v>
      </c>
      <c r="J611">
        <f t="shared" si="150"/>
        <v>770.00000000000011</v>
      </c>
      <c r="K611" s="7" t="s">
        <v>1367</v>
      </c>
    </row>
    <row r="612" spans="1:11">
      <c r="F612">
        <f t="shared" si="147"/>
        <v>0</v>
      </c>
      <c r="G612">
        <f t="shared" si="140"/>
        <v>0</v>
      </c>
      <c r="I612">
        <f t="shared" si="141"/>
        <v>0</v>
      </c>
      <c r="J612">
        <f t="shared" si="142"/>
        <v>0</v>
      </c>
    </row>
    <row r="613" spans="1:11" ht="23.25">
      <c r="A613" s="1" t="s">
        <v>1307</v>
      </c>
      <c r="F613">
        <f t="shared" si="147"/>
        <v>0</v>
      </c>
      <c r="G613">
        <f t="shared" si="140"/>
        <v>0</v>
      </c>
      <c r="I613">
        <f t="shared" si="141"/>
        <v>0</v>
      </c>
      <c r="J613">
        <f t="shared" si="142"/>
        <v>0</v>
      </c>
    </row>
    <row r="614" spans="1:11">
      <c r="B614" t="s">
        <v>1373</v>
      </c>
      <c r="C614" t="s">
        <v>1408</v>
      </c>
      <c r="D614" s="3" t="s">
        <v>1489</v>
      </c>
      <c r="E614" s="7">
        <v>41</v>
      </c>
      <c r="F614">
        <f t="shared" ref="F614:F655" si="151">E614*1.4</f>
        <v>57.4</v>
      </c>
      <c r="G614">
        <f t="shared" ref="G614:G655" si="152">F614*1.1</f>
        <v>63.14</v>
      </c>
      <c r="H614" s="7">
        <v>2100</v>
      </c>
      <c r="I614">
        <f t="shared" ref="I614:I655" si="153">H614*1.4</f>
        <v>2940</v>
      </c>
      <c r="J614">
        <f t="shared" ref="J614:J655" si="154">I614*1.1</f>
        <v>3234.0000000000005</v>
      </c>
      <c r="K614" s="7" t="s">
        <v>1490</v>
      </c>
    </row>
    <row r="615" spans="1:11">
      <c r="B615" t="s">
        <v>1373</v>
      </c>
      <c r="C615" t="s">
        <v>1407</v>
      </c>
      <c r="D615" s="3" t="s">
        <v>1487</v>
      </c>
      <c r="E615" s="7">
        <v>25</v>
      </c>
      <c r="F615">
        <f t="shared" si="151"/>
        <v>35</v>
      </c>
      <c r="G615">
        <f t="shared" si="152"/>
        <v>38.5</v>
      </c>
      <c r="H615" s="7">
        <v>900</v>
      </c>
      <c r="I615">
        <f t="shared" si="153"/>
        <v>1260</v>
      </c>
      <c r="J615">
        <f t="shared" si="154"/>
        <v>1386</v>
      </c>
      <c r="K615" s="7" t="s">
        <v>1488</v>
      </c>
    </row>
    <row r="616" spans="1:11">
      <c r="B616" t="s">
        <v>1373</v>
      </c>
      <c r="C616" t="s">
        <v>1391</v>
      </c>
      <c r="D616" s="3" t="s">
        <v>1463</v>
      </c>
      <c r="E616" s="7">
        <v>45</v>
      </c>
      <c r="F616">
        <f t="shared" si="151"/>
        <v>62.999999999999993</v>
      </c>
      <c r="G616">
        <f t="shared" si="152"/>
        <v>69.3</v>
      </c>
      <c r="H616" s="7">
        <v>1897</v>
      </c>
      <c r="I616">
        <f t="shared" si="153"/>
        <v>2655.7999999999997</v>
      </c>
      <c r="J616">
        <f t="shared" si="154"/>
        <v>2921.38</v>
      </c>
      <c r="K616" s="7" t="s">
        <v>1464</v>
      </c>
    </row>
    <row r="617" spans="1:11">
      <c r="B617" t="s">
        <v>1373</v>
      </c>
      <c r="C617" t="s">
        <v>1390</v>
      </c>
      <c r="D617" s="3" t="s">
        <v>1461</v>
      </c>
      <c r="E617" s="7">
        <v>25</v>
      </c>
      <c r="F617">
        <f t="shared" si="151"/>
        <v>35</v>
      </c>
      <c r="G617">
        <f t="shared" si="152"/>
        <v>38.5</v>
      </c>
      <c r="H617" s="7">
        <v>1952</v>
      </c>
      <c r="I617">
        <f t="shared" si="153"/>
        <v>2732.7999999999997</v>
      </c>
      <c r="J617">
        <f t="shared" si="154"/>
        <v>3006.08</v>
      </c>
      <c r="K617" s="7" t="s">
        <v>1462</v>
      </c>
    </row>
    <row r="618" spans="1:11">
      <c r="C618" t="s">
        <v>1434</v>
      </c>
      <c r="D618" s="3" t="s">
        <v>1431</v>
      </c>
      <c r="E618" s="7">
        <v>38</v>
      </c>
      <c r="F618">
        <f t="shared" si="151"/>
        <v>53.199999999999996</v>
      </c>
      <c r="G618">
        <f t="shared" si="152"/>
        <v>58.52</v>
      </c>
      <c r="H618" s="7">
        <v>1500</v>
      </c>
      <c r="I618">
        <f t="shared" si="153"/>
        <v>2100</v>
      </c>
      <c r="J618">
        <f t="shared" si="154"/>
        <v>2310</v>
      </c>
      <c r="K618" s="7" t="s">
        <v>1432</v>
      </c>
    </row>
    <row r="619" spans="1:11">
      <c r="B619" t="s">
        <v>1373</v>
      </c>
      <c r="C619" t="s">
        <v>1399</v>
      </c>
      <c r="E619" s="7">
        <v>20</v>
      </c>
      <c r="F619">
        <f t="shared" si="151"/>
        <v>28</v>
      </c>
      <c r="G619">
        <f t="shared" si="152"/>
        <v>30.800000000000004</v>
      </c>
      <c r="H619" s="7">
        <v>200</v>
      </c>
      <c r="I619">
        <f t="shared" si="153"/>
        <v>280</v>
      </c>
      <c r="J619">
        <f t="shared" si="154"/>
        <v>308</v>
      </c>
      <c r="K619" s="7" t="s">
        <v>1472</v>
      </c>
    </row>
    <row r="620" spans="1:11">
      <c r="B620" t="s">
        <v>1373</v>
      </c>
      <c r="C620" t="s">
        <v>1410</v>
      </c>
      <c r="D620" s="3" t="s">
        <v>1493</v>
      </c>
      <c r="E620" s="7">
        <v>190</v>
      </c>
      <c r="F620">
        <f t="shared" si="151"/>
        <v>266</v>
      </c>
      <c r="G620">
        <f t="shared" si="152"/>
        <v>292.60000000000002</v>
      </c>
      <c r="H620" s="7">
        <v>7000</v>
      </c>
      <c r="I620">
        <f t="shared" si="153"/>
        <v>9800</v>
      </c>
      <c r="J620">
        <f t="shared" si="154"/>
        <v>10780</v>
      </c>
      <c r="K620" s="7" t="s">
        <v>1494</v>
      </c>
    </row>
    <row r="621" spans="1:11">
      <c r="B621" t="s">
        <v>1373</v>
      </c>
      <c r="C621" t="s">
        <v>1409</v>
      </c>
      <c r="D621" s="3" t="s">
        <v>1491</v>
      </c>
      <c r="E621" s="7">
        <v>45</v>
      </c>
      <c r="F621">
        <f t="shared" si="151"/>
        <v>62.999999999999993</v>
      </c>
      <c r="G621">
        <f t="shared" si="152"/>
        <v>69.3</v>
      </c>
      <c r="H621" s="7">
        <v>1400</v>
      </c>
      <c r="I621">
        <f t="shared" si="153"/>
        <v>1959.9999999999998</v>
      </c>
      <c r="J621">
        <f t="shared" si="154"/>
        <v>2156</v>
      </c>
      <c r="K621" s="7" t="s">
        <v>1492</v>
      </c>
    </row>
    <row r="622" spans="1:11">
      <c r="B622" t="s">
        <v>1373</v>
      </c>
      <c r="C622" t="s">
        <v>1392</v>
      </c>
      <c r="E622" s="7">
        <v>20</v>
      </c>
      <c r="F622">
        <f t="shared" si="151"/>
        <v>28</v>
      </c>
      <c r="G622">
        <f t="shared" si="152"/>
        <v>30.800000000000004</v>
      </c>
      <c r="H622" s="7">
        <v>2000</v>
      </c>
      <c r="I622">
        <f t="shared" si="153"/>
        <v>2800</v>
      </c>
      <c r="J622">
        <f t="shared" si="154"/>
        <v>3080.0000000000005</v>
      </c>
      <c r="K622" s="7" t="s">
        <v>1460</v>
      </c>
    </row>
    <row r="623" spans="1:11">
      <c r="B623" t="s">
        <v>1373</v>
      </c>
      <c r="C623" t="s">
        <v>1393</v>
      </c>
      <c r="D623" s="3" t="s">
        <v>1448</v>
      </c>
      <c r="E623" s="7">
        <v>40</v>
      </c>
      <c r="F623">
        <f t="shared" si="151"/>
        <v>56</v>
      </c>
      <c r="G623">
        <f t="shared" si="152"/>
        <v>61.600000000000009</v>
      </c>
      <c r="H623" s="7">
        <v>1700</v>
      </c>
      <c r="I623">
        <f t="shared" si="153"/>
        <v>2380</v>
      </c>
      <c r="J623">
        <f t="shared" si="154"/>
        <v>2618</v>
      </c>
      <c r="K623" s="7" t="s">
        <v>1449</v>
      </c>
    </row>
    <row r="624" spans="1:11">
      <c r="B624" t="s">
        <v>1373</v>
      </c>
      <c r="C624" t="s">
        <v>1411</v>
      </c>
      <c r="D624" s="10" t="s">
        <v>1497</v>
      </c>
      <c r="E624" s="7">
        <v>47</v>
      </c>
      <c r="F624">
        <f t="shared" si="151"/>
        <v>65.8</v>
      </c>
      <c r="G624">
        <f t="shared" si="152"/>
        <v>72.38000000000001</v>
      </c>
      <c r="H624" s="7">
        <v>2000</v>
      </c>
      <c r="I624">
        <f t="shared" si="153"/>
        <v>2800</v>
      </c>
      <c r="J624">
        <f t="shared" si="154"/>
        <v>3080.0000000000005</v>
      </c>
      <c r="K624" s="7" t="s">
        <v>1498</v>
      </c>
    </row>
    <row r="625" spans="2:11">
      <c r="B625" t="s">
        <v>1373</v>
      </c>
      <c r="C625" t="s">
        <v>1412</v>
      </c>
      <c r="D625" s="3" t="s">
        <v>1495</v>
      </c>
      <c r="F625">
        <f t="shared" si="151"/>
        <v>0</v>
      </c>
      <c r="G625">
        <f t="shared" si="152"/>
        <v>0</v>
      </c>
      <c r="H625" s="7">
        <v>700</v>
      </c>
      <c r="I625">
        <f t="shared" si="153"/>
        <v>979.99999999999989</v>
      </c>
      <c r="J625">
        <f t="shared" si="154"/>
        <v>1078</v>
      </c>
      <c r="K625" s="7" t="s">
        <v>1496</v>
      </c>
    </row>
    <row r="626" spans="2:11">
      <c r="B626" t="s">
        <v>1373</v>
      </c>
      <c r="C626" t="s">
        <v>1394</v>
      </c>
      <c r="E626" s="7">
        <v>17</v>
      </c>
      <c r="F626">
        <f t="shared" si="151"/>
        <v>23.799999999999997</v>
      </c>
      <c r="G626">
        <f t="shared" si="152"/>
        <v>26.18</v>
      </c>
      <c r="H626" s="7">
        <v>360</v>
      </c>
      <c r="I626">
        <f t="shared" si="153"/>
        <v>503.99999999999994</v>
      </c>
      <c r="J626">
        <f t="shared" si="154"/>
        <v>554.4</v>
      </c>
      <c r="K626" s="7" t="s">
        <v>1447</v>
      </c>
    </row>
    <row r="627" spans="2:11">
      <c r="B627" t="s">
        <v>1373</v>
      </c>
      <c r="C627" t="s">
        <v>1397</v>
      </c>
      <c r="E627" s="7">
        <v>12</v>
      </c>
      <c r="F627">
        <f t="shared" si="151"/>
        <v>16.799999999999997</v>
      </c>
      <c r="G627">
        <f t="shared" si="152"/>
        <v>18.479999999999997</v>
      </c>
      <c r="H627" s="7">
        <v>540</v>
      </c>
      <c r="I627">
        <f t="shared" si="153"/>
        <v>756</v>
      </c>
      <c r="J627">
        <f t="shared" si="154"/>
        <v>831.6</v>
      </c>
      <c r="K627" s="7" t="s">
        <v>1469</v>
      </c>
    </row>
    <row r="628" spans="2:11">
      <c r="B628" t="s">
        <v>1373</v>
      </c>
      <c r="C628" t="s">
        <v>1404</v>
      </c>
      <c r="D628" s="3" t="s">
        <v>1481</v>
      </c>
      <c r="E628" s="7">
        <v>30</v>
      </c>
      <c r="F628">
        <f t="shared" si="151"/>
        <v>42</v>
      </c>
      <c r="G628">
        <f t="shared" si="152"/>
        <v>46.2</v>
      </c>
      <c r="H628" s="7">
        <v>1700</v>
      </c>
      <c r="I628">
        <f t="shared" si="153"/>
        <v>2380</v>
      </c>
      <c r="J628">
        <f t="shared" si="154"/>
        <v>2618</v>
      </c>
      <c r="K628" s="7" t="s">
        <v>1482</v>
      </c>
    </row>
    <row r="629" spans="2:11">
      <c r="B629" t="s">
        <v>1373</v>
      </c>
      <c r="C629" t="s">
        <v>1395</v>
      </c>
      <c r="D629" s="3" t="s">
        <v>1465</v>
      </c>
      <c r="E629" s="7">
        <v>20</v>
      </c>
      <c r="F629">
        <f t="shared" si="151"/>
        <v>28</v>
      </c>
      <c r="G629">
        <f t="shared" si="152"/>
        <v>30.800000000000004</v>
      </c>
      <c r="H629" s="7">
        <v>197</v>
      </c>
      <c r="I629">
        <f t="shared" si="153"/>
        <v>275.79999999999995</v>
      </c>
      <c r="J629">
        <f t="shared" si="154"/>
        <v>303.38</v>
      </c>
      <c r="K629" s="7" t="s">
        <v>1466</v>
      </c>
    </row>
    <row r="630" spans="2:11">
      <c r="B630" t="s">
        <v>1373</v>
      </c>
      <c r="C630" t="s">
        <v>1396</v>
      </c>
      <c r="D630" s="3" t="s">
        <v>1467</v>
      </c>
      <c r="E630" s="7">
        <v>22</v>
      </c>
      <c r="F630">
        <f t="shared" si="151"/>
        <v>30.799999999999997</v>
      </c>
      <c r="G630">
        <f t="shared" si="152"/>
        <v>33.880000000000003</v>
      </c>
      <c r="H630" s="7">
        <v>446</v>
      </c>
      <c r="I630">
        <f t="shared" si="153"/>
        <v>624.4</v>
      </c>
      <c r="J630">
        <f t="shared" si="154"/>
        <v>686.84</v>
      </c>
      <c r="K630" s="7" t="s">
        <v>1468</v>
      </c>
    </row>
    <row r="631" spans="2:11">
      <c r="B631" t="s">
        <v>1373</v>
      </c>
      <c r="C631" t="s">
        <v>1377</v>
      </c>
      <c r="D631" s="3" t="s">
        <v>1438</v>
      </c>
      <c r="E631" s="7">
        <v>14</v>
      </c>
      <c r="F631">
        <f t="shared" si="151"/>
        <v>19.599999999999998</v>
      </c>
      <c r="G631">
        <f t="shared" si="152"/>
        <v>21.56</v>
      </c>
      <c r="H631" s="7">
        <v>176</v>
      </c>
      <c r="I631">
        <f t="shared" si="153"/>
        <v>246.39999999999998</v>
      </c>
      <c r="J631">
        <f t="shared" si="154"/>
        <v>271.04000000000002</v>
      </c>
      <c r="K631" s="7" t="s">
        <v>1439</v>
      </c>
    </row>
    <row r="632" spans="2:11">
      <c r="B632" t="s">
        <v>1373</v>
      </c>
      <c r="C632" t="s">
        <v>1378</v>
      </c>
      <c r="D632" s="3" t="s">
        <v>1429</v>
      </c>
      <c r="E632" s="7">
        <v>50</v>
      </c>
      <c r="F632">
        <f t="shared" si="151"/>
        <v>70</v>
      </c>
      <c r="G632">
        <f t="shared" si="152"/>
        <v>77</v>
      </c>
      <c r="H632" s="7">
        <v>2099</v>
      </c>
      <c r="I632">
        <f t="shared" si="153"/>
        <v>2938.6</v>
      </c>
      <c r="J632">
        <f t="shared" si="154"/>
        <v>3232.46</v>
      </c>
      <c r="K632" s="7" t="s">
        <v>1430</v>
      </c>
    </row>
    <row r="633" spans="2:11">
      <c r="B633" t="s">
        <v>1373</v>
      </c>
      <c r="C633" s="15" t="s">
        <v>1406</v>
      </c>
      <c r="D633" s="3" t="s">
        <v>1485</v>
      </c>
      <c r="E633" s="7">
        <v>44</v>
      </c>
      <c r="F633">
        <f t="shared" si="151"/>
        <v>61.599999999999994</v>
      </c>
      <c r="G633">
        <f t="shared" si="152"/>
        <v>67.760000000000005</v>
      </c>
      <c r="H633" s="7">
        <v>1600</v>
      </c>
      <c r="I633">
        <f t="shared" si="153"/>
        <v>2240</v>
      </c>
      <c r="J633">
        <f t="shared" si="154"/>
        <v>2464</v>
      </c>
      <c r="K633" s="7" t="s">
        <v>1486</v>
      </c>
    </row>
    <row r="634" spans="2:11">
      <c r="B634" t="s">
        <v>1373</v>
      </c>
      <c r="C634" t="s">
        <v>1405</v>
      </c>
      <c r="D634" s="3" t="s">
        <v>1483</v>
      </c>
      <c r="E634" s="7">
        <v>20</v>
      </c>
      <c r="F634">
        <f t="shared" si="151"/>
        <v>28</v>
      </c>
      <c r="G634">
        <f t="shared" si="152"/>
        <v>30.800000000000004</v>
      </c>
      <c r="H634" s="7">
        <v>500</v>
      </c>
      <c r="I634">
        <f t="shared" si="153"/>
        <v>700</v>
      </c>
      <c r="J634">
        <f t="shared" si="154"/>
        <v>770.00000000000011</v>
      </c>
      <c r="K634" s="7" t="s">
        <v>1484</v>
      </c>
    </row>
    <row r="635" spans="2:11">
      <c r="B635" t="s">
        <v>1373</v>
      </c>
      <c r="C635" t="s">
        <v>1385</v>
      </c>
      <c r="E635" s="7">
        <v>12</v>
      </c>
      <c r="F635">
        <f t="shared" si="151"/>
        <v>16.799999999999997</v>
      </c>
      <c r="G635">
        <f t="shared" si="152"/>
        <v>18.479999999999997</v>
      </c>
      <c r="H635" s="7">
        <v>200</v>
      </c>
      <c r="I635">
        <f t="shared" si="153"/>
        <v>280</v>
      </c>
      <c r="J635">
        <f t="shared" si="154"/>
        <v>308</v>
      </c>
      <c r="K635" s="7" t="s">
        <v>1454</v>
      </c>
    </row>
    <row r="636" spans="2:11">
      <c r="B636" t="s">
        <v>1373</v>
      </c>
      <c r="C636" t="s">
        <v>1384</v>
      </c>
      <c r="D636" s="3" t="s">
        <v>1452</v>
      </c>
      <c r="E636" s="7">
        <v>120</v>
      </c>
      <c r="F636">
        <f t="shared" si="151"/>
        <v>168</v>
      </c>
      <c r="G636">
        <f t="shared" si="152"/>
        <v>184.8</v>
      </c>
      <c r="H636" s="7">
        <v>1100</v>
      </c>
      <c r="I636">
        <f t="shared" si="153"/>
        <v>1540</v>
      </c>
      <c r="J636">
        <f t="shared" si="154"/>
        <v>1694.0000000000002</v>
      </c>
      <c r="K636" s="7" t="s">
        <v>1453</v>
      </c>
    </row>
    <row r="637" spans="2:11">
      <c r="B637" t="s">
        <v>1373</v>
      </c>
      <c r="C637" t="s">
        <v>1387</v>
      </c>
      <c r="E637" s="7">
        <v>40</v>
      </c>
      <c r="F637">
        <f t="shared" si="151"/>
        <v>56</v>
      </c>
      <c r="G637">
        <f t="shared" si="152"/>
        <v>61.600000000000009</v>
      </c>
      <c r="H637" s="7">
        <v>850</v>
      </c>
      <c r="I637">
        <f t="shared" si="153"/>
        <v>1190</v>
      </c>
      <c r="J637">
        <f t="shared" si="154"/>
        <v>1309</v>
      </c>
      <c r="K637" s="7" t="s">
        <v>1456</v>
      </c>
    </row>
    <row r="638" spans="2:11">
      <c r="B638" t="s">
        <v>1373</v>
      </c>
      <c r="C638" t="s">
        <v>1402</v>
      </c>
      <c r="D638" s="3" t="s">
        <v>1477</v>
      </c>
      <c r="E638" s="7">
        <v>162</v>
      </c>
      <c r="F638">
        <f t="shared" si="151"/>
        <v>226.79999999999998</v>
      </c>
      <c r="G638">
        <f t="shared" si="152"/>
        <v>249.48</v>
      </c>
      <c r="H638" s="7">
        <v>6000</v>
      </c>
      <c r="I638">
        <f t="shared" si="153"/>
        <v>8400</v>
      </c>
      <c r="J638">
        <f t="shared" si="154"/>
        <v>9240</v>
      </c>
      <c r="K638" s="7" t="s">
        <v>1478</v>
      </c>
    </row>
    <row r="639" spans="2:11">
      <c r="B639" t="s">
        <v>1373</v>
      </c>
      <c r="C639" t="s">
        <v>1403</v>
      </c>
      <c r="D639" s="3" t="s">
        <v>1479</v>
      </c>
      <c r="E639" s="7">
        <v>62</v>
      </c>
      <c r="F639">
        <f t="shared" si="151"/>
        <v>86.8</v>
      </c>
      <c r="G639">
        <f t="shared" si="152"/>
        <v>95.48</v>
      </c>
      <c r="H639" s="7">
        <v>3500</v>
      </c>
      <c r="I639">
        <f t="shared" si="153"/>
        <v>4900</v>
      </c>
      <c r="J639">
        <f t="shared" si="154"/>
        <v>5390</v>
      </c>
      <c r="K639" s="7" t="s">
        <v>1480</v>
      </c>
    </row>
    <row r="640" spans="2:11">
      <c r="B640" t="s">
        <v>1373</v>
      </c>
      <c r="C640" t="s">
        <v>1414</v>
      </c>
      <c r="E640" s="7">
        <v>80</v>
      </c>
      <c r="F640">
        <f t="shared" si="151"/>
        <v>112</v>
      </c>
      <c r="G640">
        <f t="shared" si="152"/>
        <v>123.20000000000002</v>
      </c>
      <c r="H640" s="7">
        <v>1700</v>
      </c>
      <c r="I640">
        <f t="shared" si="153"/>
        <v>2380</v>
      </c>
      <c r="J640">
        <f t="shared" si="154"/>
        <v>2618</v>
      </c>
      <c r="K640" s="7" t="s">
        <v>1501</v>
      </c>
    </row>
    <row r="641" spans="2:11">
      <c r="B641" t="s">
        <v>1373</v>
      </c>
      <c r="C641" t="s">
        <v>1386</v>
      </c>
      <c r="E641" s="7">
        <v>67</v>
      </c>
      <c r="F641">
        <f t="shared" si="151"/>
        <v>93.8</v>
      </c>
      <c r="G641">
        <f t="shared" si="152"/>
        <v>103.18</v>
      </c>
      <c r="H641" s="7">
        <v>850</v>
      </c>
      <c r="I641">
        <f t="shared" si="153"/>
        <v>1190</v>
      </c>
      <c r="J641">
        <f t="shared" si="154"/>
        <v>1309</v>
      </c>
      <c r="K641" s="7" t="s">
        <v>1455</v>
      </c>
    </row>
    <row r="642" spans="2:11">
      <c r="B642" t="s">
        <v>1373</v>
      </c>
      <c r="C642" t="s">
        <v>1383</v>
      </c>
      <c r="D642" s="3" t="s">
        <v>1450</v>
      </c>
      <c r="E642" s="7">
        <v>40</v>
      </c>
      <c r="F642">
        <f t="shared" si="151"/>
        <v>56</v>
      </c>
      <c r="G642">
        <f t="shared" si="152"/>
        <v>61.600000000000009</v>
      </c>
      <c r="H642" s="7">
        <v>1000</v>
      </c>
      <c r="I642">
        <f t="shared" si="153"/>
        <v>1400</v>
      </c>
      <c r="J642">
        <f t="shared" si="154"/>
        <v>1540.0000000000002</v>
      </c>
      <c r="K642" s="7" t="s">
        <v>1451</v>
      </c>
    </row>
    <row r="643" spans="2:11">
      <c r="B643" t="s">
        <v>1373</v>
      </c>
      <c r="C643" t="s">
        <v>1401</v>
      </c>
      <c r="D643" s="3" t="s">
        <v>1475</v>
      </c>
      <c r="E643" s="7">
        <v>40</v>
      </c>
      <c r="F643">
        <f t="shared" si="151"/>
        <v>56</v>
      </c>
      <c r="G643">
        <f t="shared" si="152"/>
        <v>61.600000000000009</v>
      </c>
      <c r="H643" s="7">
        <v>1300</v>
      </c>
      <c r="I643">
        <f t="shared" si="153"/>
        <v>1819.9999999999998</v>
      </c>
      <c r="J643">
        <f t="shared" si="154"/>
        <v>2002</v>
      </c>
      <c r="K643" s="7" t="s">
        <v>1476</v>
      </c>
    </row>
    <row r="644" spans="2:11">
      <c r="B644" t="s">
        <v>1373</v>
      </c>
      <c r="C644" t="s">
        <v>1375</v>
      </c>
      <c r="D644" s="3" t="s">
        <v>1433</v>
      </c>
      <c r="E644" s="7">
        <v>45</v>
      </c>
      <c r="F644">
        <f t="shared" si="151"/>
        <v>62.999999999999993</v>
      </c>
      <c r="G644">
        <f t="shared" si="152"/>
        <v>69.3</v>
      </c>
      <c r="H644" s="7">
        <v>2000</v>
      </c>
      <c r="I644">
        <f t="shared" si="153"/>
        <v>2800</v>
      </c>
      <c r="J644">
        <f t="shared" si="154"/>
        <v>3080.0000000000005</v>
      </c>
      <c r="K644" s="7" t="s">
        <v>1435</v>
      </c>
    </row>
    <row r="645" spans="2:11">
      <c r="B645" t="s">
        <v>1373</v>
      </c>
      <c r="C645" t="s">
        <v>1374</v>
      </c>
      <c r="D645" s="3" t="s">
        <v>1427</v>
      </c>
      <c r="E645" s="7">
        <v>84</v>
      </c>
      <c r="F645">
        <f t="shared" si="151"/>
        <v>117.6</v>
      </c>
      <c r="G645">
        <f t="shared" si="152"/>
        <v>129.36000000000001</v>
      </c>
      <c r="H645" s="7">
        <v>2500</v>
      </c>
      <c r="I645">
        <f t="shared" si="153"/>
        <v>3500</v>
      </c>
      <c r="J645">
        <f t="shared" si="154"/>
        <v>3850.0000000000005</v>
      </c>
      <c r="K645" s="7" t="s">
        <v>1428</v>
      </c>
    </row>
    <row r="646" spans="2:11">
      <c r="B646" t="s">
        <v>1373</v>
      </c>
      <c r="C646" t="s">
        <v>1379</v>
      </c>
      <c r="D646" s="10" t="s">
        <v>1440</v>
      </c>
      <c r="E646" s="7">
        <v>60</v>
      </c>
      <c r="F646">
        <f t="shared" si="151"/>
        <v>84</v>
      </c>
      <c r="G646">
        <f t="shared" si="152"/>
        <v>92.4</v>
      </c>
      <c r="H646" s="7">
        <v>2996</v>
      </c>
      <c r="I646">
        <f t="shared" si="153"/>
        <v>4194.3999999999996</v>
      </c>
      <c r="J646">
        <f t="shared" si="154"/>
        <v>4613.84</v>
      </c>
      <c r="K646" s="7" t="s">
        <v>1441</v>
      </c>
    </row>
    <row r="647" spans="2:11">
      <c r="B647" t="s">
        <v>1373</v>
      </c>
      <c r="C647" t="s">
        <v>1398</v>
      </c>
      <c r="D647" s="3" t="s">
        <v>1470</v>
      </c>
      <c r="E647" s="7">
        <v>175</v>
      </c>
      <c r="F647">
        <f t="shared" si="151"/>
        <v>244.99999999999997</v>
      </c>
      <c r="G647">
        <f t="shared" si="152"/>
        <v>269.5</v>
      </c>
      <c r="H647" s="7">
        <v>3800</v>
      </c>
      <c r="I647">
        <f t="shared" si="153"/>
        <v>5320</v>
      </c>
      <c r="J647">
        <f t="shared" si="154"/>
        <v>5852.0000000000009</v>
      </c>
      <c r="K647" s="7" t="s">
        <v>1471</v>
      </c>
    </row>
    <row r="648" spans="2:11">
      <c r="B648" t="s">
        <v>1373</v>
      </c>
      <c r="C648" t="s">
        <v>1413</v>
      </c>
      <c r="D648" s="3" t="s">
        <v>1499</v>
      </c>
      <c r="E648" s="7">
        <v>52</v>
      </c>
      <c r="F648">
        <f t="shared" si="151"/>
        <v>72.8</v>
      </c>
      <c r="G648">
        <f t="shared" si="152"/>
        <v>80.08</v>
      </c>
      <c r="H648" s="7">
        <v>500</v>
      </c>
      <c r="I648">
        <f t="shared" si="153"/>
        <v>700</v>
      </c>
      <c r="J648">
        <f t="shared" si="154"/>
        <v>770.00000000000011</v>
      </c>
      <c r="K648" s="7" t="s">
        <v>1500</v>
      </c>
    </row>
    <row r="649" spans="2:11">
      <c r="B649" t="s">
        <v>1373</v>
      </c>
      <c r="C649" t="s">
        <v>1381</v>
      </c>
      <c r="D649" s="3" t="s">
        <v>1444</v>
      </c>
      <c r="E649" s="7">
        <v>12</v>
      </c>
      <c r="F649">
        <f t="shared" si="151"/>
        <v>16.799999999999997</v>
      </c>
      <c r="G649">
        <f t="shared" si="152"/>
        <v>18.479999999999997</v>
      </c>
      <c r="H649" s="7">
        <v>164</v>
      </c>
      <c r="I649">
        <f t="shared" si="153"/>
        <v>229.6</v>
      </c>
      <c r="J649">
        <f t="shared" si="154"/>
        <v>252.56</v>
      </c>
      <c r="K649" s="7" t="s">
        <v>1445</v>
      </c>
    </row>
    <row r="650" spans="2:11">
      <c r="B650" t="s">
        <v>1373</v>
      </c>
      <c r="C650" t="s">
        <v>1400</v>
      </c>
      <c r="D650" s="3" t="s">
        <v>1473</v>
      </c>
      <c r="E650" s="7">
        <v>20</v>
      </c>
      <c r="F650">
        <f t="shared" si="151"/>
        <v>28</v>
      </c>
      <c r="G650">
        <f t="shared" si="152"/>
        <v>30.800000000000004</v>
      </c>
      <c r="H650" s="7">
        <v>330</v>
      </c>
      <c r="I650">
        <f t="shared" si="153"/>
        <v>461.99999999999994</v>
      </c>
      <c r="J650">
        <f t="shared" si="154"/>
        <v>508.2</v>
      </c>
      <c r="K650" s="7" t="s">
        <v>1474</v>
      </c>
    </row>
    <row r="651" spans="2:11">
      <c r="B651" t="s">
        <v>1373</v>
      </c>
      <c r="C651" t="s">
        <v>1380</v>
      </c>
      <c r="D651" s="3" t="s">
        <v>1442</v>
      </c>
      <c r="E651" s="7">
        <v>20</v>
      </c>
      <c r="F651">
        <f t="shared" si="151"/>
        <v>28</v>
      </c>
      <c r="G651">
        <f t="shared" si="152"/>
        <v>30.800000000000004</v>
      </c>
      <c r="H651" s="7">
        <v>230</v>
      </c>
      <c r="I651">
        <f t="shared" si="153"/>
        <v>322</v>
      </c>
      <c r="J651">
        <f t="shared" si="154"/>
        <v>354.20000000000005</v>
      </c>
      <c r="K651" s="7" t="s">
        <v>1443</v>
      </c>
    </row>
    <row r="652" spans="2:11">
      <c r="B652" t="s">
        <v>1373</v>
      </c>
      <c r="C652" t="s">
        <v>1388</v>
      </c>
      <c r="D652" s="3" t="s">
        <v>1457</v>
      </c>
      <c r="E652" s="7">
        <v>20</v>
      </c>
      <c r="F652">
        <f t="shared" si="151"/>
        <v>28</v>
      </c>
      <c r="G652">
        <f t="shared" si="152"/>
        <v>30.800000000000004</v>
      </c>
      <c r="H652" s="7">
        <v>340</v>
      </c>
      <c r="I652">
        <f t="shared" si="153"/>
        <v>475.99999999999994</v>
      </c>
      <c r="J652">
        <f t="shared" si="154"/>
        <v>523.6</v>
      </c>
      <c r="K652" s="7" t="s">
        <v>1458</v>
      </c>
    </row>
    <row r="653" spans="2:11">
      <c r="B653" t="s">
        <v>1373</v>
      </c>
      <c r="C653" t="s">
        <v>1376</v>
      </c>
      <c r="D653" s="3" t="s">
        <v>1436</v>
      </c>
      <c r="E653" s="7">
        <v>25</v>
      </c>
      <c r="F653">
        <f t="shared" si="151"/>
        <v>35</v>
      </c>
      <c r="G653">
        <f t="shared" si="152"/>
        <v>38.5</v>
      </c>
      <c r="H653" s="7">
        <v>450</v>
      </c>
      <c r="I653">
        <f t="shared" si="153"/>
        <v>630</v>
      </c>
      <c r="J653">
        <f t="shared" si="154"/>
        <v>693</v>
      </c>
      <c r="K653" s="7" t="s">
        <v>1437</v>
      </c>
    </row>
    <row r="654" spans="2:11">
      <c r="B654" t="s">
        <v>1373</v>
      </c>
      <c r="C654" t="s">
        <v>1382</v>
      </c>
      <c r="E654" s="7">
        <v>4</v>
      </c>
      <c r="F654">
        <f t="shared" si="151"/>
        <v>5.6</v>
      </c>
      <c r="G654">
        <f t="shared" si="152"/>
        <v>6.16</v>
      </c>
      <c r="H654" s="7">
        <v>71</v>
      </c>
      <c r="I654">
        <f t="shared" si="153"/>
        <v>99.399999999999991</v>
      </c>
      <c r="J654">
        <f t="shared" si="154"/>
        <v>109.34</v>
      </c>
      <c r="K654" s="7" t="s">
        <v>1446</v>
      </c>
    </row>
    <row r="655" spans="2:11">
      <c r="B655" t="s">
        <v>1373</v>
      </c>
      <c r="C655" t="s">
        <v>1389</v>
      </c>
      <c r="E655" s="7">
        <v>10</v>
      </c>
      <c r="F655">
        <f t="shared" si="151"/>
        <v>14</v>
      </c>
      <c r="G655">
        <f t="shared" si="152"/>
        <v>15.400000000000002</v>
      </c>
      <c r="H655" s="7">
        <v>290</v>
      </c>
      <c r="I655">
        <f t="shared" si="153"/>
        <v>406</v>
      </c>
      <c r="J655">
        <f t="shared" si="154"/>
        <v>446.6</v>
      </c>
      <c r="K655" s="7" t="s">
        <v>1459</v>
      </c>
    </row>
    <row r="656" spans="2:11">
      <c r="F656">
        <f t="shared" ref="F656:F710" si="155">E656*1.4</f>
        <v>0</v>
      </c>
      <c r="G656">
        <f t="shared" ref="G656:G702" si="156">F656*1.1</f>
        <v>0</v>
      </c>
      <c r="I656">
        <f t="shared" ref="I656:I697" si="157">H656*1.4</f>
        <v>0</v>
      </c>
      <c r="J656">
        <f t="shared" ref="J656:J697" si="158">I656*1.1</f>
        <v>0</v>
      </c>
    </row>
    <row r="657" spans="1:11">
      <c r="B657" t="s">
        <v>1415</v>
      </c>
      <c r="C657" t="s">
        <v>1416</v>
      </c>
      <c r="E657" s="7">
        <v>2</v>
      </c>
      <c r="F657">
        <f t="shared" si="155"/>
        <v>2.8</v>
      </c>
      <c r="G657">
        <f t="shared" si="156"/>
        <v>3.08</v>
      </c>
      <c r="H657" s="7">
        <v>45</v>
      </c>
      <c r="I657">
        <f t="shared" si="157"/>
        <v>62.999999999999993</v>
      </c>
      <c r="J657">
        <f t="shared" si="158"/>
        <v>69.3</v>
      </c>
      <c r="K657" s="7" t="s">
        <v>1425</v>
      </c>
    </row>
    <row r="658" spans="1:11">
      <c r="B658" t="s">
        <v>1415</v>
      </c>
      <c r="C658" t="s">
        <v>1417</v>
      </c>
      <c r="E658" s="7">
        <v>2</v>
      </c>
      <c r="F658">
        <f t="shared" si="155"/>
        <v>2.8</v>
      </c>
      <c r="G658">
        <f t="shared" si="156"/>
        <v>3.08</v>
      </c>
      <c r="H658" s="7">
        <v>45</v>
      </c>
      <c r="I658">
        <f t="shared" si="157"/>
        <v>62.999999999999993</v>
      </c>
      <c r="J658">
        <f t="shared" si="158"/>
        <v>69.3</v>
      </c>
      <c r="K658" s="7" t="s">
        <v>1426</v>
      </c>
    </row>
    <row r="659" spans="1:11">
      <c r="F659">
        <f t="shared" si="155"/>
        <v>0</v>
      </c>
      <c r="G659">
        <f t="shared" si="156"/>
        <v>0</v>
      </c>
      <c r="I659">
        <f t="shared" si="157"/>
        <v>0</v>
      </c>
      <c r="J659">
        <f t="shared" si="158"/>
        <v>0</v>
      </c>
    </row>
    <row r="660" spans="1:11">
      <c r="B660" t="s">
        <v>1418</v>
      </c>
      <c r="C660" t="s">
        <v>1419</v>
      </c>
      <c r="D660" s="3" t="s">
        <v>1422</v>
      </c>
      <c r="E660" s="7">
        <v>2500</v>
      </c>
      <c r="F660">
        <f t="shared" si="155"/>
        <v>3500</v>
      </c>
      <c r="G660">
        <f t="shared" si="156"/>
        <v>3850.0000000000005</v>
      </c>
      <c r="H660" s="7">
        <v>60000</v>
      </c>
      <c r="I660">
        <f t="shared" si="157"/>
        <v>84000</v>
      </c>
      <c r="J660">
        <f t="shared" si="158"/>
        <v>92400.000000000015</v>
      </c>
      <c r="K660" s="7" t="s">
        <v>1423</v>
      </c>
    </row>
    <row r="661" spans="1:11">
      <c r="F661">
        <f t="shared" si="155"/>
        <v>0</v>
      </c>
      <c r="G661">
        <f t="shared" si="156"/>
        <v>0</v>
      </c>
      <c r="I661">
        <f t="shared" si="157"/>
        <v>0</v>
      </c>
      <c r="J661">
        <f t="shared" si="158"/>
        <v>0</v>
      </c>
    </row>
    <row r="662" spans="1:11">
      <c r="B662" t="s">
        <v>1420</v>
      </c>
      <c r="C662" t="s">
        <v>1421</v>
      </c>
      <c r="F662">
        <f t="shared" si="155"/>
        <v>0</v>
      </c>
      <c r="G662">
        <f t="shared" si="156"/>
        <v>0</v>
      </c>
      <c r="H662" s="7">
        <v>46</v>
      </c>
      <c r="I662">
        <f t="shared" si="157"/>
        <v>64.399999999999991</v>
      </c>
      <c r="J662">
        <f t="shared" si="158"/>
        <v>70.84</v>
      </c>
      <c r="K662" s="7" t="s">
        <v>1424</v>
      </c>
    </row>
    <row r="663" spans="1:11">
      <c r="F663">
        <f t="shared" si="155"/>
        <v>0</v>
      </c>
      <c r="G663">
        <f t="shared" si="156"/>
        <v>0</v>
      </c>
      <c r="I663">
        <f t="shared" si="157"/>
        <v>0</v>
      </c>
      <c r="J663">
        <f t="shared" si="158"/>
        <v>0</v>
      </c>
    </row>
    <row r="664" spans="1:11" ht="23.25">
      <c r="A664" s="1" t="s">
        <v>1502</v>
      </c>
      <c r="F664">
        <f t="shared" si="155"/>
        <v>0</v>
      </c>
      <c r="G664">
        <f t="shared" si="156"/>
        <v>0</v>
      </c>
      <c r="I664">
        <f t="shared" si="157"/>
        <v>0</v>
      </c>
      <c r="J664">
        <f t="shared" si="158"/>
        <v>0</v>
      </c>
    </row>
    <row r="665" spans="1:11">
      <c r="B665" t="s">
        <v>1503</v>
      </c>
      <c r="C665" t="s">
        <v>1505</v>
      </c>
      <c r="D665" s="3" t="s">
        <v>1523</v>
      </c>
      <c r="E665" s="7">
        <v>60</v>
      </c>
      <c r="F665">
        <f>E665*1.4</f>
        <v>84</v>
      </c>
      <c r="G665">
        <f>F665*1.1</f>
        <v>92.4</v>
      </c>
      <c r="H665" s="7">
        <v>500</v>
      </c>
      <c r="I665">
        <f>H665*1.4</f>
        <v>700</v>
      </c>
      <c r="J665">
        <f>I665*1.1</f>
        <v>770.00000000000011</v>
      </c>
      <c r="K665" s="7" t="s">
        <v>1524</v>
      </c>
    </row>
    <row r="666" spans="1:11">
      <c r="B666" t="s">
        <v>1503</v>
      </c>
      <c r="C666" t="s">
        <v>1504</v>
      </c>
      <c r="D666" s="3" t="s">
        <v>1521</v>
      </c>
      <c r="E666" s="7">
        <v>40</v>
      </c>
      <c r="F666">
        <f>E666*1.4</f>
        <v>56</v>
      </c>
      <c r="G666">
        <f>F666*1.1</f>
        <v>61.600000000000009</v>
      </c>
      <c r="H666" s="7">
        <v>350</v>
      </c>
      <c r="I666">
        <f>H666*1.4</f>
        <v>489.99999999999994</v>
      </c>
      <c r="J666">
        <f>I666*1.1</f>
        <v>539</v>
      </c>
      <c r="K666" s="7" t="s">
        <v>1522</v>
      </c>
    </row>
    <row r="668" spans="1:11">
      <c r="B668" t="s">
        <v>1506</v>
      </c>
      <c r="C668" t="s">
        <v>1507</v>
      </c>
      <c r="E668" s="7">
        <v>25</v>
      </c>
      <c r="F668">
        <f t="shared" si="155"/>
        <v>35</v>
      </c>
      <c r="G668">
        <f t="shared" si="156"/>
        <v>38.5</v>
      </c>
      <c r="I668">
        <f t="shared" si="157"/>
        <v>0</v>
      </c>
      <c r="J668">
        <f t="shared" si="158"/>
        <v>0</v>
      </c>
      <c r="K668" s="7" t="s">
        <v>1525</v>
      </c>
    </row>
    <row r="669" spans="1:11">
      <c r="F669">
        <f t="shared" si="155"/>
        <v>0</v>
      </c>
      <c r="G669">
        <f t="shared" si="156"/>
        <v>0</v>
      </c>
      <c r="I669">
        <f t="shared" si="157"/>
        <v>0</v>
      </c>
      <c r="J669">
        <f t="shared" si="158"/>
        <v>0</v>
      </c>
    </row>
    <row r="670" spans="1:11">
      <c r="B670" t="s">
        <v>1508</v>
      </c>
      <c r="C670" t="s">
        <v>1510</v>
      </c>
      <c r="E670" s="7">
        <v>127</v>
      </c>
      <c r="F670">
        <f t="shared" ref="F670:F678" si="159">E670*1.4</f>
        <v>177.79999999999998</v>
      </c>
      <c r="G670">
        <f t="shared" ref="G670:G678" si="160">F670*1.1</f>
        <v>195.57999999999998</v>
      </c>
      <c r="H670" s="7">
        <v>8788</v>
      </c>
      <c r="I670">
        <f t="shared" ref="I670:I678" si="161">H670*1.4</f>
        <v>12303.199999999999</v>
      </c>
      <c r="J670">
        <f t="shared" ref="J670:J678" si="162">I670*1.1</f>
        <v>13533.52</v>
      </c>
      <c r="K670" s="7" t="s">
        <v>1527</v>
      </c>
    </row>
    <row r="671" spans="1:11">
      <c r="B671" t="s">
        <v>1508</v>
      </c>
      <c r="C671" t="s">
        <v>1513</v>
      </c>
      <c r="E671" s="7">
        <v>99</v>
      </c>
      <c r="F671">
        <f t="shared" si="159"/>
        <v>138.6</v>
      </c>
      <c r="G671">
        <f t="shared" si="160"/>
        <v>152.46</v>
      </c>
      <c r="H671" s="7">
        <v>8500</v>
      </c>
      <c r="I671">
        <f t="shared" si="161"/>
        <v>11900</v>
      </c>
      <c r="J671">
        <f t="shared" si="162"/>
        <v>13090.000000000002</v>
      </c>
      <c r="K671" s="7" t="s">
        <v>1530</v>
      </c>
    </row>
    <row r="672" spans="1:11">
      <c r="B672" t="s">
        <v>1508</v>
      </c>
      <c r="C672" t="s">
        <v>1515</v>
      </c>
      <c r="E672" s="7">
        <v>142</v>
      </c>
      <c r="F672">
        <f t="shared" si="159"/>
        <v>198.79999999999998</v>
      </c>
      <c r="G672">
        <f t="shared" si="160"/>
        <v>218.68</v>
      </c>
      <c r="H672" s="7">
        <v>16500</v>
      </c>
      <c r="I672">
        <f t="shared" si="161"/>
        <v>23100</v>
      </c>
      <c r="J672">
        <f t="shared" si="162"/>
        <v>25410.000000000004</v>
      </c>
      <c r="K672" s="7" t="s">
        <v>1532</v>
      </c>
    </row>
    <row r="673" spans="1:11">
      <c r="B673" t="s">
        <v>1508</v>
      </c>
      <c r="C673" t="s">
        <v>1512</v>
      </c>
      <c r="E673" s="7">
        <v>32</v>
      </c>
      <c r="F673">
        <f t="shared" si="159"/>
        <v>44.8</v>
      </c>
      <c r="G673">
        <f t="shared" si="160"/>
        <v>49.28</v>
      </c>
      <c r="H673" s="7">
        <v>2000</v>
      </c>
      <c r="I673">
        <f t="shared" si="161"/>
        <v>2800</v>
      </c>
      <c r="J673">
        <f t="shared" si="162"/>
        <v>3080.0000000000005</v>
      </c>
      <c r="K673" s="7" t="s">
        <v>1529</v>
      </c>
    </row>
    <row r="674" spans="1:11">
      <c r="B674" t="s">
        <v>1508</v>
      </c>
      <c r="C674" t="s">
        <v>1259</v>
      </c>
      <c r="E674" s="7">
        <v>12</v>
      </c>
      <c r="F674">
        <f t="shared" si="159"/>
        <v>16.799999999999997</v>
      </c>
      <c r="G674">
        <f t="shared" si="160"/>
        <v>18.479999999999997</v>
      </c>
      <c r="H674" s="7">
        <v>350</v>
      </c>
      <c r="I674">
        <f t="shared" si="161"/>
        <v>489.99999999999994</v>
      </c>
      <c r="J674">
        <f t="shared" si="162"/>
        <v>539</v>
      </c>
      <c r="K674" s="7" t="s">
        <v>1533</v>
      </c>
    </row>
    <row r="675" spans="1:11">
      <c r="B675" t="s">
        <v>1508</v>
      </c>
      <c r="C675" t="s">
        <v>1516</v>
      </c>
      <c r="E675" s="7">
        <v>12</v>
      </c>
      <c r="F675">
        <f t="shared" si="159"/>
        <v>16.799999999999997</v>
      </c>
      <c r="G675">
        <f t="shared" si="160"/>
        <v>18.479999999999997</v>
      </c>
      <c r="H675" s="7">
        <v>350</v>
      </c>
      <c r="I675">
        <f t="shared" si="161"/>
        <v>489.99999999999994</v>
      </c>
      <c r="J675">
        <f t="shared" si="162"/>
        <v>539</v>
      </c>
      <c r="K675" s="7" t="s">
        <v>1534</v>
      </c>
    </row>
    <row r="676" spans="1:11">
      <c r="B676" t="s">
        <v>1508</v>
      </c>
      <c r="C676" t="s">
        <v>1509</v>
      </c>
      <c r="E676" s="7">
        <v>35</v>
      </c>
      <c r="F676">
        <f t="shared" si="159"/>
        <v>49</v>
      </c>
      <c r="G676">
        <f t="shared" si="160"/>
        <v>53.900000000000006</v>
      </c>
      <c r="H676" s="7">
        <v>1890</v>
      </c>
      <c r="I676">
        <f t="shared" si="161"/>
        <v>2646</v>
      </c>
      <c r="J676">
        <f t="shared" si="162"/>
        <v>2910.6000000000004</v>
      </c>
      <c r="K676" s="7" t="s">
        <v>1526</v>
      </c>
    </row>
    <row r="677" spans="1:11">
      <c r="B677" t="s">
        <v>1508</v>
      </c>
      <c r="C677" t="s">
        <v>1514</v>
      </c>
      <c r="E677" s="7">
        <v>45</v>
      </c>
      <c r="F677">
        <f t="shared" si="159"/>
        <v>62.999999999999993</v>
      </c>
      <c r="G677">
        <f t="shared" si="160"/>
        <v>69.3</v>
      </c>
      <c r="H677" s="7">
        <v>3500</v>
      </c>
      <c r="I677">
        <f t="shared" si="161"/>
        <v>4900</v>
      </c>
      <c r="J677">
        <f t="shared" si="162"/>
        <v>5390</v>
      </c>
      <c r="K677" s="7" t="s">
        <v>1531</v>
      </c>
    </row>
    <row r="678" spans="1:11">
      <c r="B678" t="s">
        <v>1508</v>
      </c>
      <c r="C678" t="s">
        <v>1511</v>
      </c>
      <c r="E678" s="7">
        <v>20</v>
      </c>
      <c r="F678">
        <f t="shared" si="159"/>
        <v>28</v>
      </c>
      <c r="G678">
        <f t="shared" si="160"/>
        <v>30.800000000000004</v>
      </c>
      <c r="H678" s="7">
        <v>2300</v>
      </c>
      <c r="I678">
        <f t="shared" si="161"/>
        <v>3220</v>
      </c>
      <c r="J678">
        <f t="shared" si="162"/>
        <v>3542.0000000000005</v>
      </c>
      <c r="K678" s="7" t="s">
        <v>1528</v>
      </c>
    </row>
    <row r="679" spans="1:11">
      <c r="F679">
        <f t="shared" si="155"/>
        <v>0</v>
      </c>
      <c r="G679">
        <f t="shared" si="156"/>
        <v>0</v>
      </c>
      <c r="I679">
        <f t="shared" si="157"/>
        <v>0</v>
      </c>
      <c r="J679">
        <f t="shared" si="158"/>
        <v>0</v>
      </c>
    </row>
    <row r="680" spans="1:11">
      <c r="B680" t="s">
        <v>1518</v>
      </c>
      <c r="C680" t="s">
        <v>1517</v>
      </c>
      <c r="E680" s="7">
        <v>50</v>
      </c>
      <c r="F680">
        <f t="shared" si="155"/>
        <v>70</v>
      </c>
      <c r="G680">
        <f t="shared" si="156"/>
        <v>77</v>
      </c>
      <c r="H680" s="7">
        <v>1600</v>
      </c>
      <c r="I680">
        <f t="shared" si="157"/>
        <v>2240</v>
      </c>
      <c r="J680">
        <f t="shared" si="158"/>
        <v>2464</v>
      </c>
      <c r="K680" s="7" t="s">
        <v>1535</v>
      </c>
    </row>
    <row r="681" spans="1:11">
      <c r="F681">
        <f t="shared" si="155"/>
        <v>0</v>
      </c>
      <c r="G681">
        <f t="shared" si="156"/>
        <v>0</v>
      </c>
      <c r="I681">
        <f t="shared" si="157"/>
        <v>0</v>
      </c>
      <c r="J681">
        <f t="shared" si="158"/>
        <v>0</v>
      </c>
    </row>
    <row r="682" spans="1:11">
      <c r="B682" t="s">
        <v>1520</v>
      </c>
      <c r="C682" t="s">
        <v>1519</v>
      </c>
      <c r="D682" s="3" t="s">
        <v>1536</v>
      </c>
      <c r="E682" s="7">
        <v>200</v>
      </c>
      <c r="F682">
        <f t="shared" si="155"/>
        <v>280</v>
      </c>
      <c r="G682">
        <f t="shared" si="156"/>
        <v>308</v>
      </c>
      <c r="H682" s="7">
        <v>3600</v>
      </c>
      <c r="I682">
        <f t="shared" si="157"/>
        <v>5040</v>
      </c>
      <c r="J682">
        <f t="shared" si="158"/>
        <v>5544</v>
      </c>
      <c r="K682" s="7" t="s">
        <v>1537</v>
      </c>
    </row>
    <row r="683" spans="1:11">
      <c r="F683">
        <f t="shared" si="155"/>
        <v>0</v>
      </c>
      <c r="G683">
        <f t="shared" si="156"/>
        <v>0</v>
      </c>
      <c r="I683">
        <f t="shared" si="157"/>
        <v>0</v>
      </c>
      <c r="J683">
        <f t="shared" si="158"/>
        <v>0</v>
      </c>
    </row>
    <row r="684" spans="1:11" ht="23.25">
      <c r="A684" s="1" t="s">
        <v>1538</v>
      </c>
      <c r="F684">
        <f t="shared" si="155"/>
        <v>0</v>
      </c>
      <c r="G684">
        <f t="shared" si="156"/>
        <v>0</v>
      </c>
      <c r="I684">
        <f t="shared" si="157"/>
        <v>0</v>
      </c>
      <c r="J684">
        <f t="shared" si="158"/>
        <v>0</v>
      </c>
    </row>
    <row r="685" spans="1:11">
      <c r="B685" t="s">
        <v>1540</v>
      </c>
      <c r="C685" t="s">
        <v>192</v>
      </c>
      <c r="D685" s="3" t="s">
        <v>1568</v>
      </c>
      <c r="E685" s="7">
        <v>15</v>
      </c>
      <c r="F685">
        <f t="shared" si="155"/>
        <v>21</v>
      </c>
      <c r="G685">
        <f t="shared" si="156"/>
        <v>23.1</v>
      </c>
      <c r="H685" s="7">
        <v>100</v>
      </c>
      <c r="I685">
        <f t="shared" si="157"/>
        <v>140</v>
      </c>
      <c r="J685">
        <f t="shared" si="158"/>
        <v>154</v>
      </c>
      <c r="K685" s="7" t="s">
        <v>1569</v>
      </c>
    </row>
    <row r="686" spans="1:11">
      <c r="B686" t="s">
        <v>1540</v>
      </c>
      <c r="C686" t="s">
        <v>1543</v>
      </c>
      <c r="D686" s="3" t="s">
        <v>1570</v>
      </c>
      <c r="E686" s="7">
        <v>20</v>
      </c>
      <c r="H686" s="7">
        <v>600</v>
      </c>
      <c r="K686" s="7" t="s">
        <v>1571</v>
      </c>
    </row>
    <row r="687" spans="1:11">
      <c r="F687">
        <f t="shared" si="155"/>
        <v>0</v>
      </c>
      <c r="G687">
        <f t="shared" si="156"/>
        <v>0</v>
      </c>
      <c r="I687">
        <f t="shared" si="157"/>
        <v>0</v>
      </c>
      <c r="J687">
        <f t="shared" si="158"/>
        <v>0</v>
      </c>
    </row>
    <row r="688" spans="1:11">
      <c r="B688" t="s">
        <v>1541</v>
      </c>
      <c r="C688" t="s">
        <v>1544</v>
      </c>
      <c r="D688" s="3" t="s">
        <v>1572</v>
      </c>
      <c r="E688" s="7">
        <v>65</v>
      </c>
      <c r="F688">
        <f t="shared" si="155"/>
        <v>91</v>
      </c>
      <c r="G688">
        <f t="shared" si="156"/>
        <v>100.10000000000001</v>
      </c>
      <c r="H688" s="7">
        <v>1500</v>
      </c>
      <c r="I688">
        <f t="shared" si="157"/>
        <v>2100</v>
      </c>
      <c r="J688">
        <f t="shared" si="158"/>
        <v>2310</v>
      </c>
      <c r="K688" s="7" t="s">
        <v>1573</v>
      </c>
    </row>
    <row r="689" spans="2:11">
      <c r="B689" t="s">
        <v>1541</v>
      </c>
      <c r="C689" t="s">
        <v>1545</v>
      </c>
      <c r="E689" s="7">
        <v>200</v>
      </c>
      <c r="F689">
        <f t="shared" si="155"/>
        <v>280</v>
      </c>
      <c r="G689">
        <f t="shared" si="156"/>
        <v>308</v>
      </c>
      <c r="H689" s="7">
        <v>3000</v>
      </c>
      <c r="I689">
        <f t="shared" si="157"/>
        <v>4200</v>
      </c>
      <c r="J689">
        <f t="shared" si="158"/>
        <v>4620</v>
      </c>
      <c r="K689" s="7" t="s">
        <v>1574</v>
      </c>
    </row>
    <row r="690" spans="2:11">
      <c r="B690" t="s">
        <v>1541</v>
      </c>
      <c r="C690" t="s">
        <v>1546</v>
      </c>
      <c r="D690" s="3" t="s">
        <v>1575</v>
      </c>
      <c r="E690" s="7">
        <v>75</v>
      </c>
      <c r="F690">
        <f t="shared" si="155"/>
        <v>105</v>
      </c>
      <c r="G690">
        <f t="shared" si="156"/>
        <v>115.50000000000001</v>
      </c>
      <c r="H690" s="7">
        <v>3000</v>
      </c>
      <c r="I690">
        <f t="shared" si="157"/>
        <v>4200</v>
      </c>
      <c r="J690">
        <f t="shared" si="158"/>
        <v>4620</v>
      </c>
      <c r="K690" s="7" t="s">
        <v>1576</v>
      </c>
    </row>
    <row r="691" spans="2:11">
      <c r="B691" t="s">
        <v>1541</v>
      </c>
      <c r="C691" t="s">
        <v>1547</v>
      </c>
      <c r="E691" s="7">
        <v>40</v>
      </c>
      <c r="F691">
        <f t="shared" si="155"/>
        <v>56</v>
      </c>
      <c r="G691">
        <f t="shared" si="156"/>
        <v>61.600000000000009</v>
      </c>
      <c r="H691" s="7">
        <v>451</v>
      </c>
      <c r="I691">
        <f t="shared" si="157"/>
        <v>631.4</v>
      </c>
      <c r="J691">
        <f t="shared" si="158"/>
        <v>694.54000000000008</v>
      </c>
      <c r="K691" s="7" t="s">
        <v>1577</v>
      </c>
    </row>
    <row r="692" spans="2:11">
      <c r="B692" t="s">
        <v>1541</v>
      </c>
      <c r="C692" t="s">
        <v>1548</v>
      </c>
      <c r="E692" s="7">
        <v>45</v>
      </c>
      <c r="F692">
        <f t="shared" si="155"/>
        <v>62.999999999999993</v>
      </c>
      <c r="G692">
        <f t="shared" si="156"/>
        <v>69.3</v>
      </c>
      <c r="H692" s="7">
        <v>550</v>
      </c>
      <c r="I692">
        <f t="shared" si="157"/>
        <v>770</v>
      </c>
      <c r="J692">
        <f t="shared" si="158"/>
        <v>847.00000000000011</v>
      </c>
      <c r="K692" s="7" t="s">
        <v>1578</v>
      </c>
    </row>
    <row r="693" spans="2:11">
      <c r="B693" t="s">
        <v>1541</v>
      </c>
      <c r="C693" t="s">
        <v>1549</v>
      </c>
      <c r="E693" s="7">
        <v>40</v>
      </c>
      <c r="F693">
        <f t="shared" si="155"/>
        <v>56</v>
      </c>
      <c r="G693">
        <f t="shared" si="156"/>
        <v>61.600000000000009</v>
      </c>
      <c r="H693" s="7">
        <v>400</v>
      </c>
      <c r="I693">
        <f t="shared" si="157"/>
        <v>560</v>
      </c>
      <c r="J693">
        <f t="shared" si="158"/>
        <v>616</v>
      </c>
      <c r="K693" s="7" t="s">
        <v>1579</v>
      </c>
    </row>
    <row r="694" spans="2:11">
      <c r="B694" t="s">
        <v>1541</v>
      </c>
      <c r="C694" t="s">
        <v>1550</v>
      </c>
      <c r="E694" s="7">
        <v>60</v>
      </c>
      <c r="F694">
        <f t="shared" si="155"/>
        <v>84</v>
      </c>
      <c r="G694">
        <f t="shared" si="156"/>
        <v>92.4</v>
      </c>
      <c r="H694" s="7">
        <v>2000</v>
      </c>
      <c r="I694">
        <f t="shared" si="157"/>
        <v>2800</v>
      </c>
      <c r="J694">
        <f t="shared" si="158"/>
        <v>3080.0000000000005</v>
      </c>
      <c r="K694" s="7" t="s">
        <v>1580</v>
      </c>
    </row>
    <row r="695" spans="2:11">
      <c r="B695" t="s">
        <v>1541</v>
      </c>
      <c r="C695" t="s">
        <v>1551</v>
      </c>
      <c r="E695" s="7">
        <v>15</v>
      </c>
      <c r="F695">
        <f t="shared" si="155"/>
        <v>21</v>
      </c>
      <c r="G695">
        <f t="shared" si="156"/>
        <v>23.1</v>
      </c>
      <c r="H695" s="7">
        <v>300</v>
      </c>
      <c r="I695">
        <f t="shared" si="157"/>
        <v>420</v>
      </c>
      <c r="J695">
        <f t="shared" si="158"/>
        <v>462.00000000000006</v>
      </c>
      <c r="K695" s="7" t="s">
        <v>1581</v>
      </c>
    </row>
    <row r="696" spans="2:11">
      <c r="B696" t="s">
        <v>1541</v>
      </c>
      <c r="C696" t="s">
        <v>1552</v>
      </c>
      <c r="F696">
        <f t="shared" si="155"/>
        <v>0</v>
      </c>
      <c r="G696">
        <f t="shared" si="156"/>
        <v>0</v>
      </c>
      <c r="H696" s="7">
        <v>120</v>
      </c>
      <c r="I696">
        <f t="shared" si="157"/>
        <v>168</v>
      </c>
      <c r="J696">
        <f t="shared" si="158"/>
        <v>184.8</v>
      </c>
      <c r="K696" s="7" t="s">
        <v>1582</v>
      </c>
    </row>
    <row r="697" spans="2:11">
      <c r="B697" t="s">
        <v>1541</v>
      </c>
      <c r="C697" t="s">
        <v>1567</v>
      </c>
      <c r="E697" s="7">
        <v>21</v>
      </c>
      <c r="F697">
        <f t="shared" si="155"/>
        <v>29.4</v>
      </c>
      <c r="G697">
        <f t="shared" si="156"/>
        <v>32.340000000000003</v>
      </c>
      <c r="H697" s="7">
        <v>1000</v>
      </c>
      <c r="I697">
        <f t="shared" si="157"/>
        <v>1400</v>
      </c>
      <c r="J697">
        <f t="shared" si="158"/>
        <v>1540.0000000000002</v>
      </c>
      <c r="K697" s="7" t="s">
        <v>1583</v>
      </c>
    </row>
    <row r="698" spans="2:11">
      <c r="B698" t="s">
        <v>1541</v>
      </c>
      <c r="C698" t="s">
        <v>1553</v>
      </c>
      <c r="E698" s="7">
        <v>350</v>
      </c>
      <c r="F698">
        <f t="shared" si="155"/>
        <v>489.99999999999994</v>
      </c>
      <c r="G698">
        <f t="shared" si="156"/>
        <v>539</v>
      </c>
      <c r="H698" s="7">
        <v>10835</v>
      </c>
      <c r="I698">
        <f t="shared" ref="I698:I753" si="163">H698*1.4</f>
        <v>15168.999999999998</v>
      </c>
      <c r="J698">
        <f t="shared" ref="J698:J753" si="164">I698*1.1</f>
        <v>16685.899999999998</v>
      </c>
      <c r="K698" s="7" t="s">
        <v>1584</v>
      </c>
    </row>
    <row r="699" spans="2:11">
      <c r="B699" t="s">
        <v>1541</v>
      </c>
      <c r="C699" t="s">
        <v>1554</v>
      </c>
      <c r="E699" s="7">
        <v>50</v>
      </c>
      <c r="F699">
        <f t="shared" si="155"/>
        <v>70</v>
      </c>
      <c r="G699">
        <f t="shared" si="156"/>
        <v>77</v>
      </c>
      <c r="H699" s="7">
        <v>70</v>
      </c>
      <c r="I699">
        <f t="shared" si="163"/>
        <v>98</v>
      </c>
      <c r="J699">
        <f t="shared" si="164"/>
        <v>107.80000000000001</v>
      </c>
      <c r="K699" s="7" t="s">
        <v>1585</v>
      </c>
    </row>
    <row r="700" spans="2:11">
      <c r="B700" t="s">
        <v>1541</v>
      </c>
      <c r="C700" t="s">
        <v>1555</v>
      </c>
      <c r="E700" s="7">
        <v>150</v>
      </c>
      <c r="F700">
        <f t="shared" si="155"/>
        <v>210</v>
      </c>
      <c r="G700">
        <f t="shared" si="156"/>
        <v>231.00000000000003</v>
      </c>
      <c r="H700" s="7">
        <v>6300</v>
      </c>
      <c r="I700">
        <f t="shared" si="163"/>
        <v>8820</v>
      </c>
      <c r="J700">
        <f t="shared" si="164"/>
        <v>9702</v>
      </c>
      <c r="K700" s="7" t="s">
        <v>1586</v>
      </c>
    </row>
    <row r="701" spans="2:11">
      <c r="B701" t="s">
        <v>1541</v>
      </c>
      <c r="C701" t="s">
        <v>1556</v>
      </c>
      <c r="E701" s="7">
        <v>40</v>
      </c>
      <c r="F701">
        <f t="shared" si="155"/>
        <v>56</v>
      </c>
      <c r="G701">
        <f t="shared" si="156"/>
        <v>61.600000000000009</v>
      </c>
      <c r="H701" s="7">
        <v>845</v>
      </c>
      <c r="I701">
        <f t="shared" si="163"/>
        <v>1183</v>
      </c>
      <c r="J701">
        <f t="shared" si="164"/>
        <v>1301.3000000000002</v>
      </c>
      <c r="K701" s="7" t="s">
        <v>1587</v>
      </c>
    </row>
    <row r="702" spans="2:11">
      <c r="B702" t="s">
        <v>1541</v>
      </c>
      <c r="C702" t="s">
        <v>1557</v>
      </c>
      <c r="F702">
        <f t="shared" si="155"/>
        <v>0</v>
      </c>
      <c r="G702">
        <f t="shared" si="156"/>
        <v>0</v>
      </c>
      <c r="H702" s="7">
        <v>128</v>
      </c>
      <c r="I702">
        <f t="shared" si="163"/>
        <v>179.2</v>
      </c>
      <c r="J702">
        <f t="shared" si="164"/>
        <v>197.12</v>
      </c>
      <c r="K702" s="7" t="s">
        <v>1588</v>
      </c>
    </row>
    <row r="703" spans="2:11">
      <c r="B703" t="s">
        <v>1541</v>
      </c>
      <c r="C703" t="s">
        <v>1558</v>
      </c>
      <c r="D703" s="3" t="s">
        <v>1589</v>
      </c>
      <c r="E703" s="7">
        <v>500</v>
      </c>
      <c r="F703">
        <f t="shared" si="155"/>
        <v>700</v>
      </c>
      <c r="G703">
        <f t="shared" ref="G703:G758" si="165">F703*1.1</f>
        <v>770.00000000000011</v>
      </c>
      <c r="H703" s="7">
        <v>25450</v>
      </c>
      <c r="I703">
        <f t="shared" si="163"/>
        <v>35630</v>
      </c>
      <c r="J703">
        <f t="shared" si="164"/>
        <v>39193</v>
      </c>
      <c r="K703" s="7" t="s">
        <v>1590</v>
      </c>
    </row>
    <row r="704" spans="2:11">
      <c r="B704" t="s">
        <v>1541</v>
      </c>
      <c r="C704" t="s">
        <v>1559</v>
      </c>
      <c r="D704" s="3" t="s">
        <v>1591</v>
      </c>
      <c r="E704" s="7">
        <v>900</v>
      </c>
      <c r="F704">
        <f t="shared" si="155"/>
        <v>1260</v>
      </c>
      <c r="G704">
        <f t="shared" si="165"/>
        <v>1386</v>
      </c>
      <c r="H704" s="7">
        <v>50000</v>
      </c>
      <c r="I704">
        <f t="shared" si="163"/>
        <v>70000</v>
      </c>
      <c r="J704">
        <f t="shared" si="164"/>
        <v>77000</v>
      </c>
      <c r="K704" s="7" t="s">
        <v>1592</v>
      </c>
    </row>
    <row r="705" spans="1:11">
      <c r="B705" t="s">
        <v>1541</v>
      </c>
      <c r="C705" t="s">
        <v>1560</v>
      </c>
      <c r="D705" s="3" t="s">
        <v>1593</v>
      </c>
      <c r="E705" s="7">
        <v>549</v>
      </c>
      <c r="F705">
        <f t="shared" si="155"/>
        <v>768.59999999999991</v>
      </c>
      <c r="G705">
        <f t="shared" si="165"/>
        <v>845.45999999999992</v>
      </c>
      <c r="H705" s="7">
        <v>40000</v>
      </c>
      <c r="I705">
        <f t="shared" si="163"/>
        <v>56000</v>
      </c>
      <c r="J705">
        <f t="shared" si="164"/>
        <v>61600.000000000007</v>
      </c>
      <c r="K705" s="7" t="s">
        <v>1594</v>
      </c>
    </row>
    <row r="706" spans="1:11">
      <c r="B706" t="s">
        <v>1541</v>
      </c>
      <c r="C706" t="s">
        <v>1544</v>
      </c>
      <c r="D706" s="3" t="s">
        <v>1595</v>
      </c>
      <c r="E706" s="7">
        <v>80</v>
      </c>
      <c r="F706">
        <f t="shared" si="155"/>
        <v>112</v>
      </c>
      <c r="G706">
        <f t="shared" si="165"/>
        <v>123.20000000000002</v>
      </c>
      <c r="H706" s="7">
        <v>1998</v>
      </c>
      <c r="I706">
        <f t="shared" si="163"/>
        <v>2797.2</v>
      </c>
      <c r="J706">
        <f t="shared" si="164"/>
        <v>3076.92</v>
      </c>
      <c r="K706" s="7" t="s">
        <v>1596</v>
      </c>
    </row>
    <row r="707" spans="1:11">
      <c r="B707" t="s">
        <v>1541</v>
      </c>
      <c r="C707" t="s">
        <v>1561</v>
      </c>
      <c r="D707" s="3" t="s">
        <v>1597</v>
      </c>
      <c r="E707" s="7">
        <v>99</v>
      </c>
      <c r="F707">
        <f t="shared" si="155"/>
        <v>138.6</v>
      </c>
      <c r="G707">
        <f t="shared" si="165"/>
        <v>152.46</v>
      </c>
      <c r="H707" s="7">
        <v>4000</v>
      </c>
      <c r="I707">
        <f t="shared" si="163"/>
        <v>5600</v>
      </c>
      <c r="J707">
        <f t="shared" si="164"/>
        <v>6160.0000000000009</v>
      </c>
      <c r="K707" s="7" t="s">
        <v>1598</v>
      </c>
    </row>
    <row r="708" spans="1:11">
      <c r="B708" t="s">
        <v>1541</v>
      </c>
      <c r="C708" t="s">
        <v>1562</v>
      </c>
      <c r="D708" s="3" t="s">
        <v>1599</v>
      </c>
      <c r="E708" s="7">
        <v>77</v>
      </c>
      <c r="F708">
        <f t="shared" si="155"/>
        <v>107.8</v>
      </c>
      <c r="G708">
        <f t="shared" si="165"/>
        <v>118.58000000000001</v>
      </c>
      <c r="H708" s="7">
        <v>2000</v>
      </c>
      <c r="I708">
        <f t="shared" si="163"/>
        <v>2800</v>
      </c>
      <c r="J708">
        <f t="shared" si="164"/>
        <v>3080.0000000000005</v>
      </c>
      <c r="K708" s="7" t="s">
        <v>1600</v>
      </c>
    </row>
    <row r="709" spans="1:11">
      <c r="B709" t="s">
        <v>1541</v>
      </c>
      <c r="C709" t="s">
        <v>1563</v>
      </c>
      <c r="D709" s="3" t="s">
        <v>1601</v>
      </c>
      <c r="E709" s="7">
        <v>900</v>
      </c>
      <c r="F709">
        <f t="shared" si="155"/>
        <v>1260</v>
      </c>
      <c r="G709">
        <f t="shared" si="165"/>
        <v>1386</v>
      </c>
      <c r="H709" s="7">
        <v>65000</v>
      </c>
      <c r="I709">
        <f t="shared" si="163"/>
        <v>91000</v>
      </c>
      <c r="J709">
        <f t="shared" si="164"/>
        <v>100100.00000000001</v>
      </c>
      <c r="K709" s="7" t="s">
        <v>1602</v>
      </c>
    </row>
    <row r="710" spans="1:11">
      <c r="B710" t="s">
        <v>1541</v>
      </c>
      <c r="C710" t="s">
        <v>1564</v>
      </c>
      <c r="D710" s="3" t="s">
        <v>1603</v>
      </c>
      <c r="E710" s="7">
        <v>300</v>
      </c>
      <c r="F710">
        <f t="shared" si="155"/>
        <v>420</v>
      </c>
      <c r="G710">
        <f t="shared" si="165"/>
        <v>462.00000000000006</v>
      </c>
      <c r="H710" s="7">
        <v>7345</v>
      </c>
      <c r="I710">
        <f t="shared" si="163"/>
        <v>10283</v>
      </c>
      <c r="J710">
        <f t="shared" si="164"/>
        <v>11311.300000000001</v>
      </c>
      <c r="K710" s="7" t="s">
        <v>1604</v>
      </c>
    </row>
    <row r="711" spans="1:11">
      <c r="B711" t="s">
        <v>1541</v>
      </c>
      <c r="C711" t="s">
        <v>1565</v>
      </c>
      <c r="D711" s="3" t="s">
        <v>1605</v>
      </c>
      <c r="E711" s="7">
        <v>25</v>
      </c>
      <c r="F711">
        <f t="shared" ref="F711:F766" si="166">E711*1.4</f>
        <v>35</v>
      </c>
      <c r="G711">
        <f t="shared" si="165"/>
        <v>38.5</v>
      </c>
      <c r="H711" s="7">
        <v>600</v>
      </c>
      <c r="I711">
        <f t="shared" si="163"/>
        <v>840</v>
      </c>
      <c r="J711">
        <f t="shared" si="164"/>
        <v>924.00000000000011</v>
      </c>
      <c r="K711" s="7" t="s">
        <v>1606</v>
      </c>
    </row>
    <row r="712" spans="1:11">
      <c r="B712" t="s">
        <v>1541</v>
      </c>
      <c r="C712" t="s">
        <v>1566</v>
      </c>
      <c r="D712" s="3" t="s">
        <v>1607</v>
      </c>
      <c r="E712" s="7">
        <v>15</v>
      </c>
      <c r="F712">
        <f t="shared" si="166"/>
        <v>21</v>
      </c>
      <c r="G712">
        <f t="shared" si="165"/>
        <v>23.1</v>
      </c>
      <c r="H712" s="7">
        <v>300</v>
      </c>
      <c r="I712">
        <f t="shared" si="163"/>
        <v>420</v>
      </c>
      <c r="J712">
        <f t="shared" si="164"/>
        <v>462.00000000000006</v>
      </c>
      <c r="K712" s="7" t="s">
        <v>1608</v>
      </c>
    </row>
    <row r="713" spans="1:11">
      <c r="F713">
        <f t="shared" si="166"/>
        <v>0</v>
      </c>
      <c r="G713">
        <f t="shared" si="165"/>
        <v>0</v>
      </c>
      <c r="I713">
        <f t="shared" si="163"/>
        <v>0</v>
      </c>
      <c r="J713">
        <f t="shared" si="164"/>
        <v>0</v>
      </c>
    </row>
    <row r="714" spans="1:11">
      <c r="B714" t="s">
        <v>1542</v>
      </c>
      <c r="E714" s="7">
        <v>3</v>
      </c>
      <c r="F714">
        <f t="shared" si="166"/>
        <v>4.1999999999999993</v>
      </c>
      <c r="G714">
        <f t="shared" si="165"/>
        <v>4.6199999999999992</v>
      </c>
      <c r="H714" s="7">
        <v>15</v>
      </c>
      <c r="I714">
        <f t="shared" si="163"/>
        <v>21</v>
      </c>
      <c r="J714">
        <f t="shared" si="164"/>
        <v>23.1</v>
      </c>
      <c r="K714" s="7" t="s">
        <v>1609</v>
      </c>
    </row>
    <row r="715" spans="1:11">
      <c r="F715">
        <f t="shared" si="166"/>
        <v>0</v>
      </c>
      <c r="G715">
        <f t="shared" si="165"/>
        <v>0</v>
      </c>
      <c r="I715">
        <f t="shared" si="163"/>
        <v>0</v>
      </c>
      <c r="J715">
        <f t="shared" si="164"/>
        <v>0</v>
      </c>
    </row>
    <row r="716" spans="1:11" ht="23.25">
      <c r="A716" s="1" t="s">
        <v>1610</v>
      </c>
      <c r="F716">
        <f t="shared" si="166"/>
        <v>0</v>
      </c>
      <c r="G716">
        <f t="shared" si="165"/>
        <v>0</v>
      </c>
      <c r="I716">
        <f t="shared" si="163"/>
        <v>0</v>
      </c>
      <c r="J716">
        <f t="shared" si="164"/>
        <v>0</v>
      </c>
    </row>
    <row r="717" spans="1:11">
      <c r="B717" t="s">
        <v>1611</v>
      </c>
      <c r="C717" t="s">
        <v>1612</v>
      </c>
      <c r="D717" s="3" t="s">
        <v>1613</v>
      </c>
      <c r="E717" s="7">
        <v>38</v>
      </c>
      <c r="F717">
        <f t="shared" si="166"/>
        <v>53.199999999999996</v>
      </c>
      <c r="G717">
        <f t="shared" si="165"/>
        <v>58.52</v>
      </c>
      <c r="H717" s="7">
        <v>500</v>
      </c>
      <c r="I717">
        <f t="shared" si="163"/>
        <v>700</v>
      </c>
      <c r="J717">
        <f t="shared" si="164"/>
        <v>770.00000000000011</v>
      </c>
      <c r="K717" s="7" t="s">
        <v>1614</v>
      </c>
    </row>
    <row r="718" spans="1:11">
      <c r="F718">
        <f t="shared" si="166"/>
        <v>0</v>
      </c>
      <c r="G718">
        <f t="shared" si="165"/>
        <v>0</v>
      </c>
      <c r="I718">
        <f t="shared" si="163"/>
        <v>0</v>
      </c>
      <c r="J718">
        <f t="shared" si="164"/>
        <v>0</v>
      </c>
    </row>
    <row r="719" spans="1:11" ht="23.25">
      <c r="A719" s="1" t="s">
        <v>1615</v>
      </c>
      <c r="F719">
        <f t="shared" si="166"/>
        <v>0</v>
      </c>
      <c r="G719">
        <f t="shared" si="165"/>
        <v>0</v>
      </c>
      <c r="I719">
        <f t="shared" si="163"/>
        <v>0</v>
      </c>
      <c r="J719">
        <f t="shared" si="164"/>
        <v>0</v>
      </c>
    </row>
    <row r="720" spans="1:11">
      <c r="B720" t="s">
        <v>1616</v>
      </c>
      <c r="C720" t="s">
        <v>1617</v>
      </c>
      <c r="D720" s="3" t="s">
        <v>1665</v>
      </c>
      <c r="E720" s="7">
        <v>600</v>
      </c>
      <c r="F720">
        <f t="shared" si="166"/>
        <v>840</v>
      </c>
      <c r="G720">
        <f t="shared" si="165"/>
        <v>924.00000000000011</v>
      </c>
      <c r="H720" s="7">
        <v>29000</v>
      </c>
      <c r="I720">
        <f t="shared" si="163"/>
        <v>40600</v>
      </c>
      <c r="J720">
        <f t="shared" si="164"/>
        <v>44660</v>
      </c>
      <c r="K720" s="7" t="s">
        <v>1666</v>
      </c>
    </row>
    <row r="721" spans="2:11">
      <c r="B721" t="s">
        <v>1616</v>
      </c>
      <c r="C721" t="s">
        <v>1618</v>
      </c>
      <c r="D721" s="10" t="s">
        <v>1667</v>
      </c>
      <c r="E721" s="7">
        <v>400</v>
      </c>
      <c r="F721">
        <f t="shared" si="166"/>
        <v>560</v>
      </c>
      <c r="G721">
        <f t="shared" si="165"/>
        <v>616</v>
      </c>
      <c r="H721" s="7">
        <v>9950</v>
      </c>
      <c r="I721">
        <f t="shared" si="163"/>
        <v>13930</v>
      </c>
      <c r="J721">
        <f t="shared" si="164"/>
        <v>15323.000000000002</v>
      </c>
      <c r="K721" s="7" t="s">
        <v>1668</v>
      </c>
    </row>
    <row r="722" spans="2:11">
      <c r="B722" t="s">
        <v>1616</v>
      </c>
      <c r="C722" t="s">
        <v>1619</v>
      </c>
      <c r="D722" s="3" t="s">
        <v>1669</v>
      </c>
      <c r="E722" s="7">
        <v>495</v>
      </c>
      <c r="F722">
        <f t="shared" si="166"/>
        <v>693</v>
      </c>
      <c r="G722">
        <f t="shared" si="165"/>
        <v>762.30000000000007</v>
      </c>
      <c r="H722" s="7">
        <v>14500</v>
      </c>
      <c r="I722">
        <f t="shared" si="163"/>
        <v>20300</v>
      </c>
      <c r="J722">
        <f t="shared" si="164"/>
        <v>22330</v>
      </c>
      <c r="K722" s="7" t="s">
        <v>1670</v>
      </c>
    </row>
    <row r="723" spans="2:11">
      <c r="B723" t="s">
        <v>1616</v>
      </c>
      <c r="C723" t="s">
        <v>1620</v>
      </c>
      <c r="D723" s="3" t="s">
        <v>1671</v>
      </c>
      <c r="E723" s="7">
        <v>300</v>
      </c>
      <c r="F723">
        <f t="shared" si="166"/>
        <v>420</v>
      </c>
      <c r="G723">
        <f t="shared" si="165"/>
        <v>462.00000000000006</v>
      </c>
      <c r="H723" s="7">
        <v>10000</v>
      </c>
      <c r="I723">
        <f t="shared" si="163"/>
        <v>14000</v>
      </c>
      <c r="J723">
        <f t="shared" si="164"/>
        <v>15400.000000000002</v>
      </c>
      <c r="K723" s="7" t="s">
        <v>1672</v>
      </c>
    </row>
    <row r="724" spans="2:11">
      <c r="B724" t="s">
        <v>1616</v>
      </c>
      <c r="C724" t="s">
        <v>1621</v>
      </c>
      <c r="E724" s="7">
        <v>250</v>
      </c>
      <c r="F724">
        <f t="shared" si="166"/>
        <v>350</v>
      </c>
      <c r="G724">
        <f t="shared" si="165"/>
        <v>385.00000000000006</v>
      </c>
      <c r="H724" s="7">
        <v>15000</v>
      </c>
      <c r="I724">
        <f t="shared" si="163"/>
        <v>21000</v>
      </c>
      <c r="J724">
        <f t="shared" si="164"/>
        <v>23100.000000000004</v>
      </c>
      <c r="K724" s="7" t="s">
        <v>1673</v>
      </c>
    </row>
    <row r="725" spans="2:11">
      <c r="B725" t="s">
        <v>1616</v>
      </c>
      <c r="C725" t="s">
        <v>1622</v>
      </c>
      <c r="E725" s="7">
        <v>90</v>
      </c>
      <c r="F725">
        <f t="shared" si="166"/>
        <v>125.99999999999999</v>
      </c>
      <c r="G725">
        <f t="shared" si="165"/>
        <v>138.6</v>
      </c>
      <c r="H725" s="7">
        <v>700</v>
      </c>
      <c r="I725">
        <f t="shared" si="163"/>
        <v>979.99999999999989</v>
      </c>
      <c r="J725">
        <f t="shared" si="164"/>
        <v>1078</v>
      </c>
      <c r="K725" s="7" t="s">
        <v>1674</v>
      </c>
    </row>
    <row r="726" spans="2:11">
      <c r="B726" t="s">
        <v>1616</v>
      </c>
      <c r="C726" t="s">
        <v>1623</v>
      </c>
      <c r="E726" s="7">
        <v>116</v>
      </c>
      <c r="F726">
        <f t="shared" si="166"/>
        <v>162.39999999999998</v>
      </c>
      <c r="G726">
        <f t="shared" si="165"/>
        <v>178.64</v>
      </c>
      <c r="H726" s="7">
        <v>2950</v>
      </c>
      <c r="I726">
        <f t="shared" si="163"/>
        <v>4130</v>
      </c>
      <c r="J726">
        <f t="shared" si="164"/>
        <v>4543</v>
      </c>
      <c r="K726" s="7" t="s">
        <v>1675</v>
      </c>
    </row>
    <row r="727" spans="2:11">
      <c r="B727" t="s">
        <v>1616</v>
      </c>
      <c r="C727" t="s">
        <v>1624</v>
      </c>
      <c r="E727" s="7">
        <v>75</v>
      </c>
      <c r="F727">
        <f t="shared" si="166"/>
        <v>105</v>
      </c>
      <c r="G727">
        <f t="shared" si="165"/>
        <v>115.50000000000001</v>
      </c>
      <c r="H727" s="7">
        <v>950</v>
      </c>
      <c r="I727">
        <f t="shared" si="163"/>
        <v>1330</v>
      </c>
      <c r="J727">
        <f t="shared" si="164"/>
        <v>1463.0000000000002</v>
      </c>
      <c r="K727" s="7" t="s">
        <v>1676</v>
      </c>
    </row>
    <row r="728" spans="2:11">
      <c r="B728" t="s">
        <v>1616</v>
      </c>
      <c r="C728" t="s">
        <v>1625</v>
      </c>
      <c r="E728" s="7">
        <v>75</v>
      </c>
      <c r="F728">
        <f t="shared" si="166"/>
        <v>105</v>
      </c>
      <c r="G728">
        <f t="shared" si="165"/>
        <v>115.50000000000001</v>
      </c>
      <c r="H728" s="7">
        <v>2450</v>
      </c>
      <c r="I728">
        <f t="shared" si="163"/>
        <v>3430</v>
      </c>
      <c r="J728">
        <f t="shared" si="164"/>
        <v>3773.0000000000005</v>
      </c>
      <c r="K728" s="7" t="s">
        <v>1677</v>
      </c>
    </row>
    <row r="729" spans="2:11">
      <c r="B729" t="s">
        <v>1616</v>
      </c>
      <c r="C729" t="s">
        <v>1626</v>
      </c>
      <c r="E729" s="7">
        <v>35</v>
      </c>
      <c r="F729">
        <f t="shared" si="166"/>
        <v>49</v>
      </c>
      <c r="G729">
        <f t="shared" si="165"/>
        <v>53.900000000000006</v>
      </c>
      <c r="H729" s="7">
        <v>1400</v>
      </c>
      <c r="I729">
        <f t="shared" si="163"/>
        <v>1959.9999999999998</v>
      </c>
      <c r="J729">
        <f t="shared" si="164"/>
        <v>2156</v>
      </c>
      <c r="K729" s="7" t="s">
        <v>1678</v>
      </c>
    </row>
    <row r="730" spans="2:11">
      <c r="B730" t="s">
        <v>1616</v>
      </c>
      <c r="C730" t="s">
        <v>1627</v>
      </c>
      <c r="E730" s="7">
        <v>17</v>
      </c>
      <c r="F730">
        <f t="shared" si="166"/>
        <v>23.799999999999997</v>
      </c>
      <c r="G730">
        <f t="shared" si="165"/>
        <v>26.18</v>
      </c>
      <c r="H730" s="7">
        <v>195</v>
      </c>
      <c r="I730">
        <f t="shared" si="163"/>
        <v>273</v>
      </c>
      <c r="J730">
        <f t="shared" si="164"/>
        <v>300.3</v>
      </c>
      <c r="K730" s="7" t="s">
        <v>1679</v>
      </c>
    </row>
    <row r="731" spans="2:11">
      <c r="B731" t="s">
        <v>1616</v>
      </c>
      <c r="C731" t="s">
        <v>1628</v>
      </c>
      <c r="E731" s="7">
        <v>120</v>
      </c>
      <c r="F731">
        <f t="shared" si="166"/>
        <v>168</v>
      </c>
      <c r="G731">
        <f t="shared" si="165"/>
        <v>184.8</v>
      </c>
      <c r="H731" s="7">
        <v>195</v>
      </c>
      <c r="I731">
        <f t="shared" si="163"/>
        <v>273</v>
      </c>
      <c r="J731">
        <f t="shared" si="164"/>
        <v>300.3</v>
      </c>
      <c r="K731" s="7" t="s">
        <v>1681</v>
      </c>
    </row>
    <row r="732" spans="2:11">
      <c r="B732" t="s">
        <v>1616</v>
      </c>
      <c r="C732" t="s">
        <v>1629</v>
      </c>
      <c r="D732" s="3" t="s">
        <v>1680</v>
      </c>
      <c r="E732" s="7">
        <v>850</v>
      </c>
      <c r="F732">
        <f t="shared" si="166"/>
        <v>1190</v>
      </c>
      <c r="G732">
        <f t="shared" si="165"/>
        <v>1309</v>
      </c>
      <c r="H732" s="7">
        <v>49500</v>
      </c>
      <c r="I732">
        <f t="shared" si="163"/>
        <v>69300</v>
      </c>
      <c r="J732">
        <f t="shared" si="164"/>
        <v>76230</v>
      </c>
      <c r="K732" s="7" t="s">
        <v>1682</v>
      </c>
    </row>
    <row r="733" spans="2:11">
      <c r="B733" t="s">
        <v>1616</v>
      </c>
      <c r="C733" t="s">
        <v>1630</v>
      </c>
      <c r="E733" s="7">
        <v>8</v>
      </c>
      <c r="F733">
        <f t="shared" si="166"/>
        <v>11.2</v>
      </c>
      <c r="G733">
        <f t="shared" si="165"/>
        <v>12.32</v>
      </c>
      <c r="H733" s="7">
        <v>195</v>
      </c>
      <c r="I733">
        <f t="shared" si="163"/>
        <v>273</v>
      </c>
      <c r="J733">
        <f t="shared" si="164"/>
        <v>300.3</v>
      </c>
      <c r="K733" s="7" t="s">
        <v>1683</v>
      </c>
    </row>
    <row r="734" spans="2:11">
      <c r="B734" t="s">
        <v>1616</v>
      </c>
      <c r="C734" t="s">
        <v>1631</v>
      </c>
      <c r="E734" s="7">
        <v>11</v>
      </c>
      <c r="F734">
        <f t="shared" si="166"/>
        <v>15.399999999999999</v>
      </c>
      <c r="G734">
        <f t="shared" si="165"/>
        <v>16.940000000000001</v>
      </c>
      <c r="H734" s="7">
        <v>195</v>
      </c>
      <c r="I734">
        <f t="shared" si="163"/>
        <v>273</v>
      </c>
      <c r="J734">
        <f t="shared" si="164"/>
        <v>300.3</v>
      </c>
      <c r="K734" s="7" t="s">
        <v>1684</v>
      </c>
    </row>
    <row r="735" spans="2:11">
      <c r="B735" t="s">
        <v>1616</v>
      </c>
      <c r="C735" t="s">
        <v>1632</v>
      </c>
      <c r="E735" s="7">
        <v>11</v>
      </c>
      <c r="F735">
        <f t="shared" si="166"/>
        <v>15.399999999999999</v>
      </c>
      <c r="G735">
        <f t="shared" si="165"/>
        <v>16.940000000000001</v>
      </c>
      <c r="H735" s="7">
        <v>195</v>
      </c>
      <c r="I735">
        <f t="shared" si="163"/>
        <v>273</v>
      </c>
      <c r="J735">
        <f t="shared" si="164"/>
        <v>300.3</v>
      </c>
      <c r="K735" s="7" t="s">
        <v>1685</v>
      </c>
    </row>
    <row r="736" spans="2:11">
      <c r="B736" t="s">
        <v>1616</v>
      </c>
      <c r="C736" t="s">
        <v>1633</v>
      </c>
      <c r="E736" s="7">
        <v>30</v>
      </c>
      <c r="F736">
        <f t="shared" si="166"/>
        <v>42</v>
      </c>
      <c r="G736">
        <f t="shared" si="165"/>
        <v>46.2</v>
      </c>
      <c r="H736" s="7">
        <v>756</v>
      </c>
      <c r="I736">
        <f t="shared" si="163"/>
        <v>1058.3999999999999</v>
      </c>
      <c r="J736">
        <f t="shared" si="164"/>
        <v>1164.24</v>
      </c>
      <c r="K736" s="7" t="s">
        <v>1686</v>
      </c>
    </row>
    <row r="737" spans="2:11">
      <c r="B737" t="s">
        <v>1616</v>
      </c>
      <c r="C737" t="s">
        <v>1634</v>
      </c>
      <c r="E737" s="7">
        <v>75</v>
      </c>
      <c r="F737">
        <f t="shared" si="166"/>
        <v>105</v>
      </c>
      <c r="G737">
        <f t="shared" si="165"/>
        <v>115.50000000000001</v>
      </c>
      <c r="H737" s="7">
        <v>1250</v>
      </c>
      <c r="I737">
        <f t="shared" si="163"/>
        <v>1750</v>
      </c>
      <c r="J737">
        <f t="shared" si="164"/>
        <v>1925.0000000000002</v>
      </c>
      <c r="K737" s="7" t="s">
        <v>1687</v>
      </c>
    </row>
    <row r="738" spans="2:11">
      <c r="B738" t="s">
        <v>1616</v>
      </c>
      <c r="C738" t="s">
        <v>1635</v>
      </c>
      <c r="E738" s="7">
        <v>5</v>
      </c>
      <c r="F738">
        <f t="shared" si="166"/>
        <v>7</v>
      </c>
      <c r="G738">
        <f t="shared" si="165"/>
        <v>7.7000000000000011</v>
      </c>
      <c r="H738" s="7">
        <v>75</v>
      </c>
      <c r="I738">
        <f t="shared" si="163"/>
        <v>105</v>
      </c>
      <c r="J738">
        <f t="shared" si="164"/>
        <v>115.50000000000001</v>
      </c>
      <c r="K738" s="7" t="s">
        <v>1688</v>
      </c>
    </row>
    <row r="739" spans="2:11">
      <c r="B739" t="s">
        <v>1616</v>
      </c>
      <c r="C739" t="s">
        <v>1636</v>
      </c>
      <c r="E739" s="7">
        <v>50</v>
      </c>
      <c r="F739">
        <f t="shared" si="166"/>
        <v>70</v>
      </c>
      <c r="G739">
        <f t="shared" si="165"/>
        <v>77</v>
      </c>
      <c r="H739" s="7">
        <v>950</v>
      </c>
      <c r="I739">
        <f t="shared" si="163"/>
        <v>1330</v>
      </c>
      <c r="J739">
        <f t="shared" si="164"/>
        <v>1463.0000000000002</v>
      </c>
      <c r="K739" s="7" t="s">
        <v>1689</v>
      </c>
    </row>
    <row r="740" spans="2:11">
      <c r="B740" t="s">
        <v>1616</v>
      </c>
      <c r="C740" t="s">
        <v>1693</v>
      </c>
      <c r="E740" s="7">
        <v>19</v>
      </c>
      <c r="F740">
        <f t="shared" si="166"/>
        <v>26.599999999999998</v>
      </c>
      <c r="G740">
        <f t="shared" si="165"/>
        <v>29.26</v>
      </c>
      <c r="H740" s="7">
        <v>250</v>
      </c>
      <c r="I740">
        <f t="shared" si="163"/>
        <v>350</v>
      </c>
      <c r="J740">
        <f t="shared" si="164"/>
        <v>385.00000000000006</v>
      </c>
      <c r="K740" s="7" t="s">
        <v>1690</v>
      </c>
    </row>
    <row r="741" spans="2:11">
      <c r="B741" t="s">
        <v>1616</v>
      </c>
      <c r="C741" t="s">
        <v>1637</v>
      </c>
      <c r="D741" s="3" t="s">
        <v>1691</v>
      </c>
      <c r="E741" s="7">
        <v>730</v>
      </c>
      <c r="F741">
        <f t="shared" si="166"/>
        <v>1021.9999999999999</v>
      </c>
      <c r="G741">
        <f t="shared" si="165"/>
        <v>1124.2</v>
      </c>
      <c r="H741" s="7">
        <v>29500</v>
      </c>
      <c r="I741">
        <f t="shared" si="163"/>
        <v>41300</v>
      </c>
      <c r="J741">
        <f t="shared" si="164"/>
        <v>45430.000000000007</v>
      </c>
      <c r="K741" s="7" t="s">
        <v>1692</v>
      </c>
    </row>
    <row r="742" spans="2:11">
      <c r="B742" t="s">
        <v>1616</v>
      </c>
      <c r="C742" t="s">
        <v>1638</v>
      </c>
      <c r="D742" s="3" t="s">
        <v>1694</v>
      </c>
      <c r="E742" s="7">
        <v>250</v>
      </c>
      <c r="F742">
        <f t="shared" si="166"/>
        <v>350</v>
      </c>
      <c r="G742">
        <f t="shared" si="165"/>
        <v>385.00000000000006</v>
      </c>
      <c r="H742" s="7">
        <v>4000</v>
      </c>
      <c r="I742">
        <f t="shared" si="163"/>
        <v>5600</v>
      </c>
      <c r="J742">
        <f t="shared" si="164"/>
        <v>6160.0000000000009</v>
      </c>
      <c r="K742" s="7" t="s">
        <v>1695</v>
      </c>
    </row>
    <row r="743" spans="2:11">
      <c r="B743" t="s">
        <v>1616</v>
      </c>
      <c r="C743" t="s">
        <v>1639</v>
      </c>
      <c r="D743" s="3" t="s">
        <v>1696</v>
      </c>
      <c r="E743" s="7">
        <v>387</v>
      </c>
      <c r="F743">
        <f t="shared" si="166"/>
        <v>541.79999999999995</v>
      </c>
      <c r="G743">
        <f t="shared" si="165"/>
        <v>595.98</v>
      </c>
      <c r="H743" s="7">
        <v>20000</v>
      </c>
      <c r="I743">
        <f t="shared" si="163"/>
        <v>28000</v>
      </c>
      <c r="J743">
        <f t="shared" si="164"/>
        <v>30800.000000000004</v>
      </c>
      <c r="K743" s="7" t="s">
        <v>1697</v>
      </c>
    </row>
    <row r="744" spans="2:11">
      <c r="B744" t="s">
        <v>1616</v>
      </c>
      <c r="C744" t="s">
        <v>1640</v>
      </c>
      <c r="D744" s="3" t="s">
        <v>1698</v>
      </c>
      <c r="E744" s="7">
        <v>298</v>
      </c>
      <c r="F744">
        <f t="shared" si="166"/>
        <v>417.2</v>
      </c>
      <c r="G744">
        <f t="shared" si="165"/>
        <v>458.92</v>
      </c>
      <c r="H744" s="7">
        <v>7000</v>
      </c>
      <c r="I744">
        <f t="shared" si="163"/>
        <v>9800</v>
      </c>
      <c r="J744">
        <f t="shared" si="164"/>
        <v>10780</v>
      </c>
      <c r="K744" s="7" t="s">
        <v>1699</v>
      </c>
    </row>
    <row r="745" spans="2:11">
      <c r="B745" t="s">
        <v>1616</v>
      </c>
      <c r="C745" t="s">
        <v>1641</v>
      </c>
      <c r="D745" s="3" t="s">
        <v>1700</v>
      </c>
      <c r="F745">
        <f t="shared" si="166"/>
        <v>0</v>
      </c>
      <c r="G745">
        <f t="shared" si="165"/>
        <v>0</v>
      </c>
      <c r="H745" s="7">
        <v>79500</v>
      </c>
      <c r="I745">
        <f t="shared" si="163"/>
        <v>111300</v>
      </c>
      <c r="J745">
        <f t="shared" si="164"/>
        <v>122430.00000000001</v>
      </c>
      <c r="K745" s="7" t="s">
        <v>1701</v>
      </c>
    </row>
    <row r="746" spans="2:11">
      <c r="F746">
        <f t="shared" si="166"/>
        <v>0</v>
      </c>
      <c r="G746">
        <f t="shared" si="165"/>
        <v>0</v>
      </c>
      <c r="I746">
        <f t="shared" si="163"/>
        <v>0</v>
      </c>
      <c r="J746">
        <f t="shared" si="164"/>
        <v>0</v>
      </c>
    </row>
    <row r="747" spans="2:11">
      <c r="B747" t="s">
        <v>1642</v>
      </c>
      <c r="C747" t="s">
        <v>1643</v>
      </c>
      <c r="D747" s="3" t="s">
        <v>1702</v>
      </c>
      <c r="E747" s="7">
        <v>15</v>
      </c>
      <c r="F747">
        <f t="shared" si="166"/>
        <v>21</v>
      </c>
      <c r="G747">
        <f t="shared" si="165"/>
        <v>23.1</v>
      </c>
      <c r="H747" s="7">
        <v>189</v>
      </c>
      <c r="I747">
        <f t="shared" si="163"/>
        <v>264.59999999999997</v>
      </c>
      <c r="J747">
        <f t="shared" si="164"/>
        <v>291.06</v>
      </c>
      <c r="K747" s="7" t="s">
        <v>1703</v>
      </c>
    </row>
    <row r="748" spans="2:11">
      <c r="B748" t="s">
        <v>1642</v>
      </c>
      <c r="C748" t="s">
        <v>1646</v>
      </c>
      <c r="E748" s="7">
        <v>45</v>
      </c>
      <c r="F748">
        <f t="shared" si="166"/>
        <v>62.999999999999993</v>
      </c>
      <c r="G748">
        <f t="shared" si="165"/>
        <v>69.3</v>
      </c>
      <c r="H748" s="7">
        <v>1000</v>
      </c>
      <c r="I748">
        <f t="shared" si="163"/>
        <v>1400</v>
      </c>
      <c r="J748">
        <f t="shared" si="164"/>
        <v>1540.0000000000002</v>
      </c>
      <c r="K748" s="7" t="s">
        <v>1704</v>
      </c>
    </row>
    <row r="749" spans="2:11">
      <c r="B749" t="s">
        <v>1642</v>
      </c>
      <c r="C749" t="s">
        <v>1645</v>
      </c>
      <c r="D749" s="3" t="s">
        <v>1705</v>
      </c>
      <c r="E749" s="7">
        <v>20</v>
      </c>
      <c r="F749">
        <f t="shared" si="166"/>
        <v>28</v>
      </c>
      <c r="G749">
        <f t="shared" si="165"/>
        <v>30.800000000000004</v>
      </c>
      <c r="H749" s="7">
        <v>269</v>
      </c>
      <c r="I749">
        <f t="shared" si="163"/>
        <v>376.59999999999997</v>
      </c>
      <c r="J749">
        <f t="shared" si="164"/>
        <v>414.26</v>
      </c>
      <c r="K749" s="7" t="s">
        <v>1706</v>
      </c>
    </row>
    <row r="750" spans="2:11">
      <c r="B750" t="s">
        <v>1642</v>
      </c>
      <c r="C750" t="s">
        <v>1644</v>
      </c>
      <c r="E750" s="7">
        <v>25</v>
      </c>
      <c r="F750">
        <f t="shared" si="166"/>
        <v>35</v>
      </c>
      <c r="G750">
        <f t="shared" si="165"/>
        <v>38.5</v>
      </c>
      <c r="H750" s="7">
        <v>225</v>
      </c>
      <c r="I750">
        <f t="shared" si="163"/>
        <v>315</v>
      </c>
      <c r="J750">
        <f t="shared" si="164"/>
        <v>346.5</v>
      </c>
      <c r="K750" s="7" t="s">
        <v>1707</v>
      </c>
    </row>
    <row r="751" spans="2:11">
      <c r="B751" t="s">
        <v>1642</v>
      </c>
      <c r="C751" t="s">
        <v>1647</v>
      </c>
      <c r="E751" s="7">
        <v>20</v>
      </c>
      <c r="F751">
        <f t="shared" si="166"/>
        <v>28</v>
      </c>
      <c r="G751">
        <f t="shared" si="165"/>
        <v>30.800000000000004</v>
      </c>
      <c r="H751" s="7">
        <v>400</v>
      </c>
      <c r="I751">
        <f t="shared" si="163"/>
        <v>560</v>
      </c>
      <c r="J751">
        <f t="shared" si="164"/>
        <v>616</v>
      </c>
      <c r="K751" s="7" t="s">
        <v>1708</v>
      </c>
    </row>
    <row r="752" spans="2:11">
      <c r="B752" t="s">
        <v>1642</v>
      </c>
      <c r="C752" t="s">
        <v>1648</v>
      </c>
      <c r="D752" s="3" t="s">
        <v>1709</v>
      </c>
      <c r="E752" s="7">
        <v>10</v>
      </c>
      <c r="F752">
        <f t="shared" si="166"/>
        <v>14</v>
      </c>
      <c r="G752">
        <f t="shared" si="165"/>
        <v>15.400000000000002</v>
      </c>
      <c r="H752" s="7">
        <v>66</v>
      </c>
      <c r="I752">
        <f t="shared" si="163"/>
        <v>92.399999999999991</v>
      </c>
      <c r="J752">
        <f t="shared" si="164"/>
        <v>101.64</v>
      </c>
      <c r="K752" s="7" t="s">
        <v>1710</v>
      </c>
    </row>
    <row r="753" spans="1:11">
      <c r="F753">
        <f t="shared" si="166"/>
        <v>0</v>
      </c>
      <c r="G753">
        <f t="shared" si="165"/>
        <v>0</v>
      </c>
      <c r="I753">
        <f t="shared" si="163"/>
        <v>0</v>
      </c>
      <c r="J753">
        <f t="shared" si="164"/>
        <v>0</v>
      </c>
    </row>
    <row r="754" spans="1:11">
      <c r="A754" t="s">
        <v>1713</v>
      </c>
      <c r="B754" t="s">
        <v>1712</v>
      </c>
      <c r="C754" t="s">
        <v>1649</v>
      </c>
      <c r="D754" s="3" t="s">
        <v>1711</v>
      </c>
      <c r="E754" s="7">
        <v>30</v>
      </c>
      <c r="F754">
        <f t="shared" si="166"/>
        <v>42</v>
      </c>
      <c r="G754">
        <f t="shared" si="165"/>
        <v>46.2</v>
      </c>
      <c r="H754" s="7">
        <v>500</v>
      </c>
      <c r="I754">
        <f t="shared" ref="I754:I815" si="167">H754*1.4</f>
        <v>700</v>
      </c>
      <c r="J754">
        <f t="shared" ref="J754:J815" si="168">I754*1.1</f>
        <v>770.00000000000011</v>
      </c>
      <c r="K754" s="7" t="s">
        <v>1714</v>
      </c>
    </row>
    <row r="755" spans="1:11">
      <c r="B755" t="s">
        <v>1712</v>
      </c>
      <c r="C755" t="s">
        <v>1650</v>
      </c>
      <c r="D755" s="3" t="s">
        <v>1715</v>
      </c>
      <c r="E755" s="7">
        <v>30</v>
      </c>
      <c r="F755">
        <f t="shared" si="166"/>
        <v>42</v>
      </c>
      <c r="G755">
        <f t="shared" si="165"/>
        <v>46.2</v>
      </c>
      <c r="H755" s="7">
        <v>349</v>
      </c>
      <c r="I755">
        <f t="shared" si="167"/>
        <v>488.59999999999997</v>
      </c>
      <c r="J755">
        <f t="shared" si="168"/>
        <v>537.46</v>
      </c>
      <c r="K755" s="7" t="s">
        <v>1716</v>
      </c>
    </row>
    <row r="756" spans="1:11">
      <c r="B756" t="s">
        <v>1712</v>
      </c>
      <c r="C756" t="s">
        <v>1651</v>
      </c>
      <c r="E756" s="7">
        <v>95</v>
      </c>
      <c r="F756">
        <f t="shared" si="166"/>
        <v>133</v>
      </c>
      <c r="G756">
        <f t="shared" si="165"/>
        <v>146.30000000000001</v>
      </c>
      <c r="H756" s="7">
        <v>1298</v>
      </c>
      <c r="I756">
        <f t="shared" si="167"/>
        <v>1817.1999999999998</v>
      </c>
      <c r="J756">
        <f t="shared" si="168"/>
        <v>1998.92</v>
      </c>
      <c r="K756" s="7" t="s">
        <v>1717</v>
      </c>
    </row>
    <row r="757" spans="1:11">
      <c r="B757" t="s">
        <v>1712</v>
      </c>
      <c r="C757" t="s">
        <v>1656</v>
      </c>
      <c r="E757" s="7">
        <v>27</v>
      </c>
      <c r="F757">
        <f t="shared" si="166"/>
        <v>37.799999999999997</v>
      </c>
      <c r="G757">
        <f t="shared" si="165"/>
        <v>41.58</v>
      </c>
      <c r="H757" s="7">
        <v>219</v>
      </c>
      <c r="I757">
        <f t="shared" si="167"/>
        <v>306.59999999999997</v>
      </c>
      <c r="J757">
        <f t="shared" si="168"/>
        <v>337.26</v>
      </c>
      <c r="K757" s="7" t="s">
        <v>1718</v>
      </c>
    </row>
    <row r="758" spans="1:11">
      <c r="B758" t="s">
        <v>1712</v>
      </c>
      <c r="C758" t="s">
        <v>1652</v>
      </c>
      <c r="E758" s="7">
        <v>50</v>
      </c>
      <c r="F758">
        <f t="shared" si="166"/>
        <v>70</v>
      </c>
      <c r="G758">
        <f t="shared" si="165"/>
        <v>77</v>
      </c>
      <c r="I758">
        <f t="shared" si="167"/>
        <v>0</v>
      </c>
      <c r="J758">
        <f t="shared" si="168"/>
        <v>0</v>
      </c>
      <c r="K758" s="7" t="s">
        <v>1719</v>
      </c>
    </row>
    <row r="759" spans="1:11">
      <c r="B759" t="s">
        <v>1712</v>
      </c>
      <c r="C759" t="s">
        <v>1653</v>
      </c>
      <c r="E759" s="7">
        <v>15</v>
      </c>
      <c r="F759">
        <f t="shared" si="166"/>
        <v>21</v>
      </c>
      <c r="G759">
        <f t="shared" ref="G759:G820" si="169">F759*1.1</f>
        <v>23.1</v>
      </c>
      <c r="H759" s="7">
        <v>390</v>
      </c>
      <c r="I759">
        <f t="shared" si="167"/>
        <v>546</v>
      </c>
      <c r="J759">
        <f t="shared" si="168"/>
        <v>600.6</v>
      </c>
      <c r="K759" s="7" t="s">
        <v>1720</v>
      </c>
    </row>
    <row r="760" spans="1:11">
      <c r="B760" t="s">
        <v>1712</v>
      </c>
      <c r="C760" t="s">
        <v>1654</v>
      </c>
      <c r="E760" s="7">
        <v>232</v>
      </c>
      <c r="F760">
        <f t="shared" si="166"/>
        <v>324.79999999999995</v>
      </c>
      <c r="G760">
        <f t="shared" si="169"/>
        <v>357.28</v>
      </c>
      <c r="H760" s="7">
        <v>13770</v>
      </c>
      <c r="I760">
        <f t="shared" si="167"/>
        <v>19278</v>
      </c>
      <c r="J760">
        <f t="shared" si="168"/>
        <v>21205.800000000003</v>
      </c>
      <c r="K760" s="7" t="s">
        <v>1721</v>
      </c>
    </row>
    <row r="761" spans="1:11">
      <c r="B761" t="s">
        <v>1712</v>
      </c>
      <c r="C761" t="s">
        <v>1655</v>
      </c>
      <c r="D761" s="3" t="s">
        <v>1722</v>
      </c>
      <c r="E761" s="7">
        <v>25</v>
      </c>
      <c r="F761">
        <f t="shared" si="166"/>
        <v>35</v>
      </c>
      <c r="G761">
        <f t="shared" si="169"/>
        <v>38.5</v>
      </c>
      <c r="H761" s="7">
        <v>399</v>
      </c>
      <c r="I761">
        <f t="shared" si="167"/>
        <v>558.59999999999991</v>
      </c>
      <c r="J761">
        <f t="shared" si="168"/>
        <v>614.45999999999992</v>
      </c>
      <c r="K761" s="7" t="s">
        <v>1723</v>
      </c>
    </row>
    <row r="762" spans="1:11">
      <c r="B762" t="s">
        <v>1712</v>
      </c>
      <c r="C762" t="s">
        <v>1658</v>
      </c>
      <c r="D762" s="3" t="s">
        <v>1724</v>
      </c>
      <c r="E762" s="7">
        <v>30</v>
      </c>
      <c r="F762">
        <f t="shared" si="166"/>
        <v>42</v>
      </c>
      <c r="G762">
        <f t="shared" si="169"/>
        <v>46.2</v>
      </c>
      <c r="H762" s="7">
        <v>539</v>
      </c>
      <c r="I762">
        <f t="shared" si="167"/>
        <v>754.59999999999991</v>
      </c>
      <c r="J762">
        <f t="shared" si="168"/>
        <v>830.06</v>
      </c>
      <c r="K762" s="7" t="s">
        <v>1725</v>
      </c>
    </row>
    <row r="763" spans="1:11">
      <c r="B763" t="s">
        <v>1712</v>
      </c>
      <c r="C763" t="s">
        <v>1659</v>
      </c>
      <c r="D763" s="3" t="s">
        <v>1726</v>
      </c>
      <c r="E763" s="7">
        <v>30</v>
      </c>
      <c r="F763">
        <f t="shared" si="166"/>
        <v>42</v>
      </c>
      <c r="G763">
        <f t="shared" si="169"/>
        <v>46.2</v>
      </c>
      <c r="H763" s="7">
        <v>500</v>
      </c>
      <c r="I763">
        <f t="shared" si="167"/>
        <v>700</v>
      </c>
      <c r="J763">
        <f t="shared" si="168"/>
        <v>770.00000000000011</v>
      </c>
      <c r="K763" s="7" t="s">
        <v>1727</v>
      </c>
    </row>
    <row r="764" spans="1:11">
      <c r="B764" t="s">
        <v>1712</v>
      </c>
      <c r="C764" t="s">
        <v>1731</v>
      </c>
      <c r="D764" s="3" t="s">
        <v>1728</v>
      </c>
      <c r="E764" s="7">
        <v>15</v>
      </c>
      <c r="F764">
        <f t="shared" si="166"/>
        <v>21</v>
      </c>
      <c r="G764">
        <f t="shared" si="169"/>
        <v>23.1</v>
      </c>
      <c r="H764" s="7">
        <v>349</v>
      </c>
      <c r="I764">
        <f t="shared" si="167"/>
        <v>488.59999999999997</v>
      </c>
      <c r="J764">
        <f t="shared" si="168"/>
        <v>537.46</v>
      </c>
      <c r="K764" s="7" t="s">
        <v>1729</v>
      </c>
    </row>
    <row r="765" spans="1:11">
      <c r="B765" t="s">
        <v>1712</v>
      </c>
      <c r="C765" t="s">
        <v>1730</v>
      </c>
      <c r="D765" s="3" t="s">
        <v>1711</v>
      </c>
      <c r="E765" s="7">
        <v>25</v>
      </c>
      <c r="F765">
        <f t="shared" si="166"/>
        <v>35</v>
      </c>
      <c r="G765">
        <f t="shared" si="169"/>
        <v>38.5</v>
      </c>
      <c r="H765" s="7">
        <v>500</v>
      </c>
      <c r="I765">
        <f t="shared" si="167"/>
        <v>700</v>
      </c>
      <c r="J765">
        <f t="shared" si="168"/>
        <v>770.00000000000011</v>
      </c>
      <c r="K765" s="7" t="s">
        <v>1732</v>
      </c>
    </row>
    <row r="766" spans="1:11">
      <c r="B766" t="s">
        <v>1712</v>
      </c>
      <c r="C766" t="s">
        <v>1735</v>
      </c>
      <c r="D766" s="10" t="s">
        <v>1733</v>
      </c>
      <c r="E766" s="7">
        <v>27</v>
      </c>
      <c r="F766">
        <f t="shared" si="166"/>
        <v>37.799999999999997</v>
      </c>
      <c r="G766">
        <f t="shared" si="169"/>
        <v>41.58</v>
      </c>
      <c r="H766" s="7">
        <v>220</v>
      </c>
      <c r="I766">
        <f t="shared" si="167"/>
        <v>308</v>
      </c>
      <c r="J766">
        <f t="shared" si="168"/>
        <v>338.8</v>
      </c>
      <c r="K766" s="7" t="s">
        <v>1734</v>
      </c>
    </row>
    <row r="767" spans="1:11">
      <c r="B767" t="s">
        <v>1712</v>
      </c>
      <c r="C767" t="s">
        <v>1657</v>
      </c>
      <c r="D767" s="3" t="s">
        <v>1736</v>
      </c>
      <c r="E767" s="7">
        <v>25</v>
      </c>
      <c r="F767">
        <f t="shared" ref="F767:F828" si="170">E767*1.4</f>
        <v>35</v>
      </c>
      <c r="G767">
        <f t="shared" si="169"/>
        <v>38.5</v>
      </c>
      <c r="H767" s="7">
        <v>600</v>
      </c>
      <c r="I767">
        <f t="shared" si="167"/>
        <v>840</v>
      </c>
      <c r="J767">
        <f t="shared" si="168"/>
        <v>924.00000000000011</v>
      </c>
      <c r="K767" s="7" t="s">
        <v>1737</v>
      </c>
    </row>
    <row r="768" spans="1:11">
      <c r="F768">
        <f t="shared" si="170"/>
        <v>0</v>
      </c>
      <c r="G768">
        <f t="shared" si="169"/>
        <v>0</v>
      </c>
      <c r="I768">
        <f t="shared" si="167"/>
        <v>0</v>
      </c>
      <c r="J768">
        <f t="shared" si="168"/>
        <v>0</v>
      </c>
    </row>
    <row r="769" spans="1:11">
      <c r="B769" t="s">
        <v>1660</v>
      </c>
      <c r="C769" t="s">
        <v>1661</v>
      </c>
      <c r="D769" s="3" t="s">
        <v>1738</v>
      </c>
      <c r="E769" s="7">
        <v>22</v>
      </c>
      <c r="F769">
        <f t="shared" si="170"/>
        <v>30.799999999999997</v>
      </c>
      <c r="G769">
        <f t="shared" si="169"/>
        <v>33.880000000000003</v>
      </c>
      <c r="H769" s="7">
        <v>300</v>
      </c>
      <c r="I769">
        <f t="shared" si="167"/>
        <v>420</v>
      </c>
      <c r="J769">
        <f t="shared" si="168"/>
        <v>462.00000000000006</v>
      </c>
      <c r="K769" s="7" t="s">
        <v>1739</v>
      </c>
    </row>
    <row r="770" spans="1:11">
      <c r="B770" t="s">
        <v>1660</v>
      </c>
      <c r="C770" t="s">
        <v>1662</v>
      </c>
      <c r="D770" s="3" t="s">
        <v>1740</v>
      </c>
      <c r="E770" s="7">
        <v>150</v>
      </c>
      <c r="F770">
        <f t="shared" si="170"/>
        <v>210</v>
      </c>
      <c r="G770">
        <f t="shared" si="169"/>
        <v>231.00000000000003</v>
      </c>
      <c r="H770" s="7">
        <v>430</v>
      </c>
      <c r="I770">
        <f t="shared" si="167"/>
        <v>602</v>
      </c>
      <c r="J770">
        <f t="shared" si="168"/>
        <v>662.2</v>
      </c>
      <c r="K770" s="7" t="s">
        <v>1741</v>
      </c>
    </row>
    <row r="771" spans="1:11">
      <c r="F771">
        <f t="shared" si="170"/>
        <v>0</v>
      </c>
      <c r="G771">
        <f t="shared" si="169"/>
        <v>0</v>
      </c>
      <c r="I771">
        <f t="shared" si="167"/>
        <v>0</v>
      </c>
      <c r="J771">
        <f t="shared" si="168"/>
        <v>0</v>
      </c>
    </row>
    <row r="772" spans="1:11">
      <c r="B772" t="s">
        <v>1664</v>
      </c>
      <c r="C772" t="s">
        <v>1663</v>
      </c>
      <c r="F772">
        <f t="shared" si="170"/>
        <v>0</v>
      </c>
      <c r="G772">
        <f t="shared" si="169"/>
        <v>0</v>
      </c>
      <c r="H772" s="7">
        <v>7</v>
      </c>
      <c r="I772">
        <f t="shared" si="167"/>
        <v>9.7999999999999989</v>
      </c>
      <c r="J772">
        <f t="shared" si="168"/>
        <v>10.78</v>
      </c>
      <c r="K772" s="7" t="s">
        <v>1742</v>
      </c>
    </row>
    <row r="773" spans="1:11">
      <c r="F773">
        <f t="shared" si="170"/>
        <v>0</v>
      </c>
      <c r="G773">
        <f t="shared" si="169"/>
        <v>0</v>
      </c>
      <c r="I773">
        <f t="shared" si="167"/>
        <v>0</v>
      </c>
      <c r="J773">
        <f t="shared" si="168"/>
        <v>0</v>
      </c>
    </row>
    <row r="774" spans="1:11" ht="23.25">
      <c r="A774" s="1" t="s">
        <v>1743</v>
      </c>
      <c r="F774">
        <f t="shared" si="170"/>
        <v>0</v>
      </c>
      <c r="G774">
        <f t="shared" si="169"/>
        <v>0</v>
      </c>
      <c r="I774">
        <f t="shared" si="167"/>
        <v>0</v>
      </c>
      <c r="J774">
        <f t="shared" si="168"/>
        <v>0</v>
      </c>
    </row>
    <row r="775" spans="1:11">
      <c r="B775" t="s">
        <v>1744</v>
      </c>
      <c r="C775" t="s">
        <v>1745</v>
      </c>
      <c r="D775" s="3" t="s">
        <v>2078</v>
      </c>
      <c r="E775" s="7">
        <v>80</v>
      </c>
      <c r="F775">
        <f t="shared" si="170"/>
        <v>112</v>
      </c>
      <c r="G775">
        <f t="shared" si="169"/>
        <v>123.20000000000002</v>
      </c>
      <c r="H775" s="7">
        <v>2199</v>
      </c>
      <c r="I775">
        <f t="shared" si="167"/>
        <v>3078.6</v>
      </c>
      <c r="J775">
        <f t="shared" si="168"/>
        <v>3386.46</v>
      </c>
      <c r="K775" s="7" t="s">
        <v>2079</v>
      </c>
    </row>
    <row r="776" spans="1:11">
      <c r="B776" t="s">
        <v>1744</v>
      </c>
      <c r="C776" t="s">
        <v>1746</v>
      </c>
      <c r="D776" s="3" t="s">
        <v>2080</v>
      </c>
      <c r="E776" s="7">
        <v>250</v>
      </c>
      <c r="F776">
        <f t="shared" si="170"/>
        <v>350</v>
      </c>
      <c r="G776">
        <f t="shared" si="169"/>
        <v>385.00000000000006</v>
      </c>
      <c r="H776" s="7">
        <v>7999</v>
      </c>
      <c r="I776">
        <f t="shared" si="167"/>
        <v>11198.599999999999</v>
      </c>
      <c r="J776">
        <f t="shared" si="168"/>
        <v>12318.46</v>
      </c>
      <c r="K776" s="7" t="s">
        <v>2081</v>
      </c>
    </row>
    <row r="777" spans="1:11">
      <c r="B777" t="s">
        <v>1744</v>
      </c>
      <c r="C777" t="s">
        <v>1747</v>
      </c>
      <c r="D777" s="3" t="s">
        <v>2082</v>
      </c>
      <c r="E777" s="7">
        <v>187</v>
      </c>
      <c r="F777">
        <f t="shared" si="170"/>
        <v>261.8</v>
      </c>
      <c r="G777">
        <f t="shared" si="169"/>
        <v>287.98</v>
      </c>
      <c r="H777" s="7">
        <v>4399</v>
      </c>
      <c r="I777">
        <f t="shared" si="167"/>
        <v>6158.5999999999995</v>
      </c>
      <c r="J777">
        <f t="shared" si="168"/>
        <v>6774.46</v>
      </c>
      <c r="K777" s="7" t="s">
        <v>2083</v>
      </c>
    </row>
    <row r="778" spans="1:11">
      <c r="B778" t="s">
        <v>1744</v>
      </c>
      <c r="C778" t="s">
        <v>1748</v>
      </c>
      <c r="D778" s="3" t="s">
        <v>2084</v>
      </c>
      <c r="E778" s="7">
        <v>200</v>
      </c>
      <c r="F778">
        <f t="shared" si="170"/>
        <v>280</v>
      </c>
      <c r="G778">
        <f t="shared" si="169"/>
        <v>308</v>
      </c>
      <c r="H778" s="7">
        <v>6000</v>
      </c>
      <c r="I778">
        <f t="shared" si="167"/>
        <v>8400</v>
      </c>
      <c r="J778">
        <f t="shared" si="168"/>
        <v>9240</v>
      </c>
      <c r="K778" s="7" t="s">
        <v>2085</v>
      </c>
    </row>
    <row r="779" spans="1:11">
      <c r="B779" t="s">
        <v>1744</v>
      </c>
      <c r="C779" t="s">
        <v>1749</v>
      </c>
      <c r="E779" s="7">
        <v>300</v>
      </c>
      <c r="F779">
        <f t="shared" si="170"/>
        <v>420</v>
      </c>
      <c r="G779">
        <f t="shared" si="169"/>
        <v>462.00000000000006</v>
      </c>
      <c r="H779" s="7">
        <v>15000</v>
      </c>
      <c r="I779">
        <f t="shared" si="167"/>
        <v>21000</v>
      </c>
      <c r="J779">
        <f t="shared" si="168"/>
        <v>23100.000000000004</v>
      </c>
      <c r="K779" s="7" t="s">
        <v>2086</v>
      </c>
    </row>
    <row r="780" spans="1:11">
      <c r="B780" t="s">
        <v>1744</v>
      </c>
      <c r="C780" t="s">
        <v>1750</v>
      </c>
      <c r="E780" s="7">
        <v>137</v>
      </c>
      <c r="F780">
        <f t="shared" si="170"/>
        <v>191.79999999999998</v>
      </c>
      <c r="G780">
        <f t="shared" si="169"/>
        <v>210.98</v>
      </c>
      <c r="H780" s="7">
        <v>3000</v>
      </c>
      <c r="I780">
        <f t="shared" si="167"/>
        <v>4200</v>
      </c>
      <c r="J780">
        <f t="shared" si="168"/>
        <v>4620</v>
      </c>
      <c r="K780" s="7" t="s">
        <v>2087</v>
      </c>
    </row>
    <row r="781" spans="1:11">
      <c r="B781" t="s">
        <v>1744</v>
      </c>
      <c r="C781" t="s">
        <v>1751</v>
      </c>
      <c r="E781" s="7">
        <v>37</v>
      </c>
      <c r="F781">
        <f t="shared" si="170"/>
        <v>51.8</v>
      </c>
      <c r="G781">
        <f t="shared" si="169"/>
        <v>56.980000000000004</v>
      </c>
      <c r="H781" s="7">
        <v>366</v>
      </c>
      <c r="I781">
        <f t="shared" si="167"/>
        <v>512.4</v>
      </c>
      <c r="J781">
        <f t="shared" si="168"/>
        <v>563.64</v>
      </c>
      <c r="K781" s="7" t="s">
        <v>2088</v>
      </c>
    </row>
    <row r="782" spans="1:11">
      <c r="B782" t="s">
        <v>1744</v>
      </c>
      <c r="C782" t="s">
        <v>1752</v>
      </c>
      <c r="D782" s="3" t="s">
        <v>2089</v>
      </c>
      <c r="E782" s="7">
        <v>485</v>
      </c>
      <c r="F782">
        <f t="shared" si="170"/>
        <v>679</v>
      </c>
      <c r="G782">
        <f t="shared" si="169"/>
        <v>746.90000000000009</v>
      </c>
      <c r="H782" s="7">
        <v>19400</v>
      </c>
      <c r="I782">
        <f t="shared" si="167"/>
        <v>27160</v>
      </c>
      <c r="J782">
        <f t="shared" si="168"/>
        <v>29876.000000000004</v>
      </c>
      <c r="K782" s="7" t="s">
        <v>2090</v>
      </c>
    </row>
    <row r="783" spans="1:11">
      <c r="B783" t="s">
        <v>1744</v>
      </c>
      <c r="C783" t="s">
        <v>1753</v>
      </c>
      <c r="D783" s="3" t="s">
        <v>2091</v>
      </c>
      <c r="E783" s="7">
        <v>80</v>
      </c>
      <c r="F783">
        <f t="shared" si="170"/>
        <v>112</v>
      </c>
      <c r="G783">
        <f t="shared" si="169"/>
        <v>123.20000000000002</v>
      </c>
      <c r="H783" s="7">
        <v>3199</v>
      </c>
      <c r="I783">
        <f t="shared" si="167"/>
        <v>4478.5999999999995</v>
      </c>
      <c r="J783">
        <f t="shared" si="168"/>
        <v>4926.46</v>
      </c>
      <c r="K783" s="7" t="s">
        <v>2092</v>
      </c>
    </row>
    <row r="784" spans="1:11">
      <c r="B784" t="s">
        <v>1744</v>
      </c>
      <c r="C784" t="s">
        <v>1754</v>
      </c>
      <c r="E784" s="7">
        <v>200</v>
      </c>
      <c r="F784">
        <f t="shared" si="170"/>
        <v>280</v>
      </c>
      <c r="G784">
        <f t="shared" si="169"/>
        <v>308</v>
      </c>
      <c r="H784" s="7">
        <v>3249</v>
      </c>
      <c r="I784">
        <f t="shared" si="167"/>
        <v>4548.5999999999995</v>
      </c>
      <c r="J784">
        <f t="shared" si="168"/>
        <v>5003.46</v>
      </c>
      <c r="K784" s="7" t="s">
        <v>2093</v>
      </c>
    </row>
    <row r="785" spans="2:11">
      <c r="B785" t="s">
        <v>1744</v>
      </c>
      <c r="C785" t="s">
        <v>1755</v>
      </c>
      <c r="D785" s="3" t="s">
        <v>2094</v>
      </c>
      <c r="E785" s="7">
        <v>100</v>
      </c>
      <c r="F785">
        <f t="shared" si="170"/>
        <v>140</v>
      </c>
      <c r="G785">
        <f t="shared" si="169"/>
        <v>154</v>
      </c>
      <c r="H785" s="7">
        <v>2999</v>
      </c>
      <c r="I785">
        <f t="shared" si="167"/>
        <v>4198.5999999999995</v>
      </c>
      <c r="J785">
        <f t="shared" si="168"/>
        <v>4618.46</v>
      </c>
      <c r="K785" s="7" t="s">
        <v>2095</v>
      </c>
    </row>
    <row r="786" spans="2:11">
      <c r="B786" t="s">
        <v>1744</v>
      </c>
      <c r="C786" t="s">
        <v>1756</v>
      </c>
      <c r="E786" s="7">
        <v>36</v>
      </c>
      <c r="F786">
        <f t="shared" si="170"/>
        <v>50.4</v>
      </c>
      <c r="G786">
        <f t="shared" si="169"/>
        <v>55.440000000000005</v>
      </c>
      <c r="H786" s="7">
        <v>900</v>
      </c>
      <c r="I786">
        <f t="shared" si="167"/>
        <v>1260</v>
      </c>
      <c r="J786">
        <f t="shared" si="168"/>
        <v>1386</v>
      </c>
      <c r="K786" s="7" t="s">
        <v>2096</v>
      </c>
    </row>
    <row r="787" spans="2:11">
      <c r="B787" t="s">
        <v>1744</v>
      </c>
      <c r="C787" t="s">
        <v>1757</v>
      </c>
      <c r="E787" s="7">
        <v>15</v>
      </c>
      <c r="F787">
        <f t="shared" si="170"/>
        <v>21</v>
      </c>
      <c r="G787">
        <f t="shared" si="169"/>
        <v>23.1</v>
      </c>
      <c r="H787" s="7">
        <v>500</v>
      </c>
      <c r="I787">
        <f t="shared" si="167"/>
        <v>700</v>
      </c>
      <c r="J787">
        <f t="shared" si="168"/>
        <v>770.00000000000011</v>
      </c>
      <c r="K787" s="7" t="s">
        <v>2097</v>
      </c>
    </row>
    <row r="788" spans="2:11">
      <c r="B788" t="s">
        <v>1744</v>
      </c>
      <c r="C788" t="s">
        <v>1758</v>
      </c>
      <c r="E788" s="7">
        <v>30</v>
      </c>
      <c r="F788">
        <f t="shared" si="170"/>
        <v>42</v>
      </c>
      <c r="G788">
        <f t="shared" si="169"/>
        <v>46.2</v>
      </c>
      <c r="H788" s="7">
        <v>350</v>
      </c>
      <c r="I788">
        <f t="shared" si="167"/>
        <v>489.99999999999994</v>
      </c>
      <c r="J788">
        <f t="shared" si="168"/>
        <v>539</v>
      </c>
      <c r="K788" s="7" t="s">
        <v>2098</v>
      </c>
    </row>
    <row r="789" spans="2:11">
      <c r="B789" t="s">
        <v>1744</v>
      </c>
      <c r="C789" t="s">
        <v>1759</v>
      </c>
      <c r="E789" s="7">
        <v>12</v>
      </c>
      <c r="F789">
        <f t="shared" si="170"/>
        <v>16.799999999999997</v>
      </c>
      <c r="G789">
        <f t="shared" si="169"/>
        <v>18.479999999999997</v>
      </c>
      <c r="H789" s="7">
        <v>300</v>
      </c>
      <c r="I789">
        <f t="shared" si="167"/>
        <v>420</v>
      </c>
      <c r="J789">
        <f t="shared" si="168"/>
        <v>462.00000000000006</v>
      </c>
      <c r="K789" s="7" t="s">
        <v>2099</v>
      </c>
    </row>
    <row r="790" spans="2:11">
      <c r="B790" t="s">
        <v>1744</v>
      </c>
      <c r="C790" t="s">
        <v>1760</v>
      </c>
      <c r="E790" s="7">
        <v>15</v>
      </c>
      <c r="F790">
        <f t="shared" si="170"/>
        <v>21</v>
      </c>
      <c r="G790">
        <f t="shared" si="169"/>
        <v>23.1</v>
      </c>
      <c r="H790" s="7">
        <v>265</v>
      </c>
      <c r="I790">
        <f t="shared" si="167"/>
        <v>371</v>
      </c>
      <c r="J790">
        <f t="shared" si="168"/>
        <v>408.1</v>
      </c>
      <c r="K790" s="7" t="s">
        <v>2100</v>
      </c>
    </row>
    <row r="791" spans="2:11">
      <c r="B791" t="s">
        <v>1744</v>
      </c>
      <c r="C791" t="s">
        <v>1761</v>
      </c>
      <c r="E791" s="7">
        <v>45</v>
      </c>
      <c r="F791">
        <f t="shared" si="170"/>
        <v>62.999999999999993</v>
      </c>
      <c r="G791">
        <f t="shared" si="169"/>
        <v>69.3</v>
      </c>
      <c r="H791" s="7">
        <v>379</v>
      </c>
      <c r="I791">
        <f t="shared" si="167"/>
        <v>530.6</v>
      </c>
      <c r="J791">
        <f t="shared" si="168"/>
        <v>583.66000000000008</v>
      </c>
      <c r="K791" s="7" t="s">
        <v>2101</v>
      </c>
    </row>
    <row r="792" spans="2:11">
      <c r="B792" t="s">
        <v>1744</v>
      </c>
      <c r="C792" t="s">
        <v>1762</v>
      </c>
      <c r="E792" s="7">
        <v>150</v>
      </c>
      <c r="F792">
        <f t="shared" si="170"/>
        <v>210</v>
      </c>
      <c r="G792">
        <f t="shared" si="169"/>
        <v>231.00000000000003</v>
      </c>
      <c r="H792" s="7">
        <v>5500</v>
      </c>
      <c r="I792">
        <f t="shared" si="167"/>
        <v>7699.9999999999991</v>
      </c>
      <c r="J792">
        <f t="shared" si="168"/>
        <v>8470</v>
      </c>
      <c r="K792" s="7" t="s">
        <v>2102</v>
      </c>
    </row>
    <row r="793" spans="2:11">
      <c r="B793" t="s">
        <v>1744</v>
      </c>
      <c r="C793" t="s">
        <v>1763</v>
      </c>
      <c r="E793" s="7">
        <v>50</v>
      </c>
      <c r="F793">
        <f t="shared" si="170"/>
        <v>70</v>
      </c>
      <c r="G793">
        <f t="shared" si="169"/>
        <v>77</v>
      </c>
      <c r="H793" s="7">
        <v>850</v>
      </c>
      <c r="I793">
        <f t="shared" si="167"/>
        <v>1190</v>
      </c>
      <c r="J793">
        <f t="shared" si="168"/>
        <v>1309</v>
      </c>
      <c r="K793" s="7" t="s">
        <v>2103</v>
      </c>
    </row>
    <row r="794" spans="2:11">
      <c r="B794" t="s">
        <v>1744</v>
      </c>
      <c r="C794" t="s">
        <v>1764</v>
      </c>
      <c r="E794" s="7">
        <v>150</v>
      </c>
      <c r="F794">
        <f t="shared" si="170"/>
        <v>210</v>
      </c>
      <c r="G794">
        <f t="shared" si="169"/>
        <v>231.00000000000003</v>
      </c>
      <c r="H794" s="7">
        <v>500</v>
      </c>
      <c r="I794">
        <f t="shared" si="167"/>
        <v>700</v>
      </c>
      <c r="J794">
        <f t="shared" si="168"/>
        <v>770.00000000000011</v>
      </c>
      <c r="K794" s="7" t="s">
        <v>2104</v>
      </c>
    </row>
    <row r="795" spans="2:11" s="16" customFormat="1">
      <c r="B795" s="16" t="s">
        <v>1744</v>
      </c>
      <c r="C795" s="16" t="s">
        <v>1765</v>
      </c>
      <c r="D795" s="17"/>
      <c r="E795" s="7">
        <v>200</v>
      </c>
      <c r="F795" s="16">
        <f t="shared" si="170"/>
        <v>280</v>
      </c>
      <c r="G795" s="16">
        <f t="shared" si="169"/>
        <v>308</v>
      </c>
      <c r="H795" s="7">
        <v>600</v>
      </c>
      <c r="I795" s="16">
        <f t="shared" si="167"/>
        <v>840</v>
      </c>
      <c r="J795" s="16">
        <f t="shared" si="168"/>
        <v>924.00000000000011</v>
      </c>
      <c r="K795" s="7" t="s">
        <v>2105</v>
      </c>
    </row>
    <row r="796" spans="2:11" s="16" customFormat="1">
      <c r="B796" s="16" t="s">
        <v>1744</v>
      </c>
      <c r="C796" s="16" t="s">
        <v>1766</v>
      </c>
      <c r="D796" s="17"/>
      <c r="E796" s="7">
        <v>9</v>
      </c>
      <c r="F796" s="16">
        <f t="shared" si="170"/>
        <v>12.6</v>
      </c>
      <c r="G796" s="16">
        <f t="shared" si="169"/>
        <v>13.860000000000001</v>
      </c>
      <c r="H796" s="7">
        <v>169</v>
      </c>
      <c r="I796" s="16">
        <f t="shared" si="167"/>
        <v>236.6</v>
      </c>
      <c r="J796" s="16">
        <f t="shared" si="168"/>
        <v>260.26</v>
      </c>
      <c r="K796" s="7" t="s">
        <v>2106</v>
      </c>
    </row>
    <row r="797" spans="2:11">
      <c r="B797" t="s">
        <v>1744</v>
      </c>
      <c r="C797" t="s">
        <v>1767</v>
      </c>
      <c r="E797" s="7">
        <v>35</v>
      </c>
      <c r="F797">
        <f t="shared" si="170"/>
        <v>49</v>
      </c>
      <c r="G797">
        <f t="shared" si="169"/>
        <v>53.900000000000006</v>
      </c>
      <c r="H797" s="7">
        <v>600</v>
      </c>
      <c r="I797">
        <f t="shared" si="167"/>
        <v>840</v>
      </c>
      <c r="J797">
        <f t="shared" si="168"/>
        <v>924.00000000000011</v>
      </c>
      <c r="K797" s="7" t="s">
        <v>2107</v>
      </c>
    </row>
    <row r="798" spans="2:11">
      <c r="B798" t="s">
        <v>1744</v>
      </c>
      <c r="C798" t="s">
        <v>1768</v>
      </c>
      <c r="F798">
        <f t="shared" si="170"/>
        <v>0</v>
      </c>
      <c r="G798">
        <f t="shared" si="169"/>
        <v>0</v>
      </c>
      <c r="H798" s="7">
        <v>200</v>
      </c>
      <c r="I798">
        <f t="shared" si="167"/>
        <v>280</v>
      </c>
      <c r="J798">
        <f t="shared" si="168"/>
        <v>308</v>
      </c>
      <c r="K798" s="7" t="s">
        <v>2108</v>
      </c>
    </row>
    <row r="799" spans="2:11" s="16" customFormat="1">
      <c r="B799" s="16" t="s">
        <v>1744</v>
      </c>
      <c r="C799" s="16" t="s">
        <v>1769</v>
      </c>
      <c r="D799" s="17"/>
      <c r="E799" s="7"/>
      <c r="F799" s="16">
        <f t="shared" si="170"/>
        <v>0</v>
      </c>
      <c r="G799" s="16">
        <f t="shared" si="169"/>
        <v>0</v>
      </c>
      <c r="H799" s="7">
        <v>100</v>
      </c>
      <c r="I799" s="16">
        <f t="shared" si="167"/>
        <v>140</v>
      </c>
      <c r="J799" s="16">
        <f t="shared" si="168"/>
        <v>154</v>
      </c>
      <c r="K799" s="7" t="s">
        <v>2109</v>
      </c>
    </row>
    <row r="800" spans="2:11" s="16" customFormat="1">
      <c r="B800" s="16" t="s">
        <v>1744</v>
      </c>
      <c r="C800" s="16" t="s">
        <v>1770</v>
      </c>
      <c r="D800" s="17"/>
      <c r="E800" s="7"/>
      <c r="F800" s="16">
        <f t="shared" si="170"/>
        <v>0</v>
      </c>
      <c r="G800" s="16">
        <f t="shared" si="169"/>
        <v>0</v>
      </c>
      <c r="H800" s="7">
        <v>200</v>
      </c>
      <c r="I800" s="16">
        <f t="shared" si="167"/>
        <v>280</v>
      </c>
      <c r="J800" s="16">
        <f t="shared" si="168"/>
        <v>308</v>
      </c>
      <c r="K800" s="7" t="s">
        <v>2148</v>
      </c>
    </row>
    <row r="801" spans="1:11" s="16" customFormat="1">
      <c r="B801" s="16" t="s">
        <v>1744</v>
      </c>
      <c r="C801" s="16" t="s">
        <v>1771</v>
      </c>
      <c r="D801" s="17"/>
      <c r="E801" s="7"/>
      <c r="F801" s="16">
        <f t="shared" si="170"/>
        <v>0</v>
      </c>
      <c r="G801" s="16">
        <f t="shared" si="169"/>
        <v>0</v>
      </c>
      <c r="H801" s="7">
        <v>150</v>
      </c>
      <c r="I801" s="16">
        <f t="shared" si="167"/>
        <v>210</v>
      </c>
      <c r="J801" s="16">
        <f t="shared" si="168"/>
        <v>231.00000000000003</v>
      </c>
      <c r="K801" s="7" t="s">
        <v>2109</v>
      </c>
    </row>
    <row r="802" spans="1:11" s="16" customFormat="1">
      <c r="B802" s="16" t="s">
        <v>1744</v>
      </c>
      <c r="C802" s="16" t="s">
        <v>1772</v>
      </c>
      <c r="D802" s="17"/>
      <c r="E802" s="7"/>
      <c r="F802" s="16">
        <f t="shared" si="170"/>
        <v>0</v>
      </c>
      <c r="G802" s="16">
        <f t="shared" si="169"/>
        <v>0</v>
      </c>
      <c r="H802" s="7">
        <v>18</v>
      </c>
      <c r="I802" s="16">
        <f t="shared" si="167"/>
        <v>25.2</v>
      </c>
      <c r="J802" s="16">
        <f t="shared" si="168"/>
        <v>27.720000000000002</v>
      </c>
      <c r="K802" s="7" t="s">
        <v>2110</v>
      </c>
    </row>
    <row r="803" spans="1:11">
      <c r="B803" t="s">
        <v>1744</v>
      </c>
      <c r="C803" t="s">
        <v>1773</v>
      </c>
      <c r="E803" s="7">
        <v>40</v>
      </c>
      <c r="F803">
        <f t="shared" si="170"/>
        <v>56</v>
      </c>
      <c r="G803">
        <f t="shared" si="169"/>
        <v>61.600000000000009</v>
      </c>
      <c r="H803" s="7">
        <v>2198</v>
      </c>
      <c r="I803">
        <f t="shared" si="167"/>
        <v>3077.2</v>
      </c>
      <c r="J803">
        <f t="shared" si="168"/>
        <v>3384.92</v>
      </c>
      <c r="K803" s="7" t="s">
        <v>2111</v>
      </c>
    </row>
    <row r="804" spans="1:11">
      <c r="B804" t="s">
        <v>1744</v>
      </c>
      <c r="C804" t="s">
        <v>1775</v>
      </c>
      <c r="E804" s="7">
        <v>150</v>
      </c>
      <c r="F804">
        <f t="shared" si="170"/>
        <v>210</v>
      </c>
      <c r="G804">
        <f t="shared" si="169"/>
        <v>231.00000000000003</v>
      </c>
      <c r="H804" s="7">
        <v>3695</v>
      </c>
      <c r="I804">
        <f t="shared" si="167"/>
        <v>5173</v>
      </c>
      <c r="J804">
        <f t="shared" si="168"/>
        <v>5690.3</v>
      </c>
      <c r="K804" s="7" t="s">
        <v>2112</v>
      </c>
    </row>
    <row r="805" spans="1:11">
      <c r="B805" t="s">
        <v>1744</v>
      </c>
      <c r="C805" t="s">
        <v>1774</v>
      </c>
      <c r="E805" s="7">
        <v>209</v>
      </c>
      <c r="F805">
        <f t="shared" si="170"/>
        <v>292.59999999999997</v>
      </c>
      <c r="G805">
        <f t="shared" si="169"/>
        <v>321.86</v>
      </c>
      <c r="H805" s="7">
        <v>6500</v>
      </c>
      <c r="I805">
        <f t="shared" si="167"/>
        <v>9100</v>
      </c>
      <c r="J805">
        <f t="shared" si="168"/>
        <v>10010</v>
      </c>
      <c r="K805" s="7" t="s">
        <v>2113</v>
      </c>
    </row>
    <row r="806" spans="1:11">
      <c r="B806" t="s">
        <v>1744</v>
      </c>
      <c r="C806" t="s">
        <v>1776</v>
      </c>
      <c r="E806" s="7">
        <v>15</v>
      </c>
      <c r="F806">
        <f t="shared" si="170"/>
        <v>21</v>
      </c>
      <c r="G806">
        <f t="shared" si="169"/>
        <v>23.1</v>
      </c>
      <c r="H806" s="7">
        <v>300</v>
      </c>
      <c r="I806">
        <f t="shared" si="167"/>
        <v>420</v>
      </c>
      <c r="J806">
        <f t="shared" si="168"/>
        <v>462.00000000000006</v>
      </c>
      <c r="K806" s="7" t="s">
        <v>2114</v>
      </c>
    </row>
    <row r="807" spans="1:11">
      <c r="B807" t="s">
        <v>1744</v>
      </c>
      <c r="C807" t="s">
        <v>1777</v>
      </c>
      <c r="E807" s="7">
        <v>11</v>
      </c>
      <c r="F807">
        <f t="shared" si="170"/>
        <v>15.399999999999999</v>
      </c>
      <c r="G807">
        <f t="shared" si="169"/>
        <v>16.940000000000001</v>
      </c>
      <c r="H807" s="7">
        <v>300</v>
      </c>
      <c r="I807">
        <f t="shared" si="167"/>
        <v>420</v>
      </c>
      <c r="J807">
        <f t="shared" si="168"/>
        <v>462.00000000000006</v>
      </c>
      <c r="K807" s="7" t="s">
        <v>2115</v>
      </c>
    </row>
    <row r="808" spans="1:11">
      <c r="B808" t="s">
        <v>1744</v>
      </c>
      <c r="C808" t="s">
        <v>1778</v>
      </c>
      <c r="E808" s="7">
        <v>45</v>
      </c>
      <c r="F808">
        <f t="shared" si="170"/>
        <v>62.999999999999993</v>
      </c>
      <c r="G808">
        <f t="shared" si="169"/>
        <v>69.3</v>
      </c>
      <c r="H808" s="7">
        <v>850</v>
      </c>
      <c r="I808">
        <f t="shared" si="167"/>
        <v>1190</v>
      </c>
      <c r="J808">
        <f t="shared" si="168"/>
        <v>1309</v>
      </c>
      <c r="K808" s="7" t="s">
        <v>2116</v>
      </c>
    </row>
    <row r="809" spans="1:11">
      <c r="B809" t="s">
        <v>1744</v>
      </c>
      <c r="C809" t="s">
        <v>1779</v>
      </c>
      <c r="E809" s="7">
        <v>30</v>
      </c>
      <c r="F809">
        <f t="shared" si="170"/>
        <v>42</v>
      </c>
      <c r="G809">
        <f t="shared" si="169"/>
        <v>46.2</v>
      </c>
      <c r="H809" s="7">
        <v>550</v>
      </c>
      <c r="I809">
        <f t="shared" si="167"/>
        <v>770</v>
      </c>
      <c r="J809">
        <f t="shared" si="168"/>
        <v>847.00000000000011</v>
      </c>
      <c r="K809" s="7" t="s">
        <v>2117</v>
      </c>
    </row>
    <row r="810" spans="1:11">
      <c r="B810" t="s">
        <v>1744</v>
      </c>
      <c r="C810" t="s">
        <v>1780</v>
      </c>
      <c r="D810" s="10" t="s">
        <v>2118</v>
      </c>
      <c r="E810" s="7">
        <v>175</v>
      </c>
      <c r="F810">
        <f t="shared" si="170"/>
        <v>244.99999999999997</v>
      </c>
      <c r="G810">
        <f t="shared" si="169"/>
        <v>269.5</v>
      </c>
      <c r="H810" s="7">
        <v>4500</v>
      </c>
      <c r="I810">
        <f t="shared" si="167"/>
        <v>6300</v>
      </c>
      <c r="J810">
        <f t="shared" si="168"/>
        <v>6930.0000000000009</v>
      </c>
      <c r="K810" s="7" t="s">
        <v>2119</v>
      </c>
    </row>
    <row r="811" spans="1:11">
      <c r="B811" t="s">
        <v>1744</v>
      </c>
      <c r="C811" t="s">
        <v>1781</v>
      </c>
      <c r="D811" s="3" t="s">
        <v>2120</v>
      </c>
      <c r="E811" s="7">
        <v>9</v>
      </c>
      <c r="F811">
        <f t="shared" si="170"/>
        <v>12.6</v>
      </c>
      <c r="G811">
        <f t="shared" si="169"/>
        <v>13.860000000000001</v>
      </c>
      <c r="H811" s="7">
        <v>100</v>
      </c>
      <c r="I811">
        <f t="shared" si="167"/>
        <v>140</v>
      </c>
      <c r="J811">
        <f t="shared" si="168"/>
        <v>154</v>
      </c>
      <c r="K811" s="7" t="s">
        <v>2121</v>
      </c>
    </row>
    <row r="812" spans="1:11">
      <c r="B812" t="s">
        <v>1744</v>
      </c>
      <c r="C812" t="s">
        <v>1782</v>
      </c>
      <c r="E812" s="7">
        <v>200</v>
      </c>
      <c r="F812">
        <f t="shared" si="170"/>
        <v>280</v>
      </c>
      <c r="G812">
        <f t="shared" si="169"/>
        <v>308</v>
      </c>
      <c r="H812" s="7">
        <v>12500</v>
      </c>
      <c r="I812">
        <f t="shared" si="167"/>
        <v>17500</v>
      </c>
      <c r="J812">
        <f t="shared" si="168"/>
        <v>19250</v>
      </c>
      <c r="K812" s="7" t="s">
        <v>2122</v>
      </c>
    </row>
    <row r="813" spans="1:11">
      <c r="A813" t="s">
        <v>2125</v>
      </c>
      <c r="B813" t="s">
        <v>1744</v>
      </c>
      <c r="C813" t="s">
        <v>1783</v>
      </c>
      <c r="D813" s="3" t="s">
        <v>2123</v>
      </c>
      <c r="E813" s="7">
        <v>50</v>
      </c>
      <c r="F813">
        <f t="shared" si="170"/>
        <v>70</v>
      </c>
      <c r="G813">
        <f t="shared" si="169"/>
        <v>77</v>
      </c>
      <c r="H813" s="7">
        <v>900</v>
      </c>
      <c r="I813">
        <f t="shared" si="167"/>
        <v>1260</v>
      </c>
      <c r="J813">
        <f t="shared" si="168"/>
        <v>1386</v>
      </c>
      <c r="K813" s="7" t="s">
        <v>2124</v>
      </c>
    </row>
    <row r="814" spans="1:11">
      <c r="B814" t="s">
        <v>1744</v>
      </c>
      <c r="C814" t="s">
        <v>1784</v>
      </c>
      <c r="D814" s="3" t="s">
        <v>2126</v>
      </c>
      <c r="F814">
        <f t="shared" si="170"/>
        <v>0</v>
      </c>
      <c r="G814">
        <f t="shared" si="169"/>
        <v>0</v>
      </c>
      <c r="H814" s="7">
        <v>400</v>
      </c>
      <c r="I814">
        <f t="shared" si="167"/>
        <v>560</v>
      </c>
      <c r="J814">
        <f t="shared" si="168"/>
        <v>616</v>
      </c>
      <c r="K814" s="7" t="s">
        <v>2127</v>
      </c>
    </row>
    <row r="815" spans="1:11">
      <c r="B815" t="s">
        <v>1744</v>
      </c>
      <c r="C815" t="s">
        <v>1785</v>
      </c>
      <c r="D815" s="3" t="s">
        <v>2128</v>
      </c>
      <c r="E815" s="7">
        <v>140</v>
      </c>
      <c r="F815">
        <f t="shared" si="170"/>
        <v>196</v>
      </c>
      <c r="G815">
        <f t="shared" si="169"/>
        <v>215.60000000000002</v>
      </c>
      <c r="H815" s="7">
        <v>3000</v>
      </c>
      <c r="I815">
        <f t="shared" si="167"/>
        <v>4200</v>
      </c>
      <c r="J815">
        <f t="shared" si="168"/>
        <v>4620</v>
      </c>
      <c r="K815" s="7" t="s">
        <v>2129</v>
      </c>
    </row>
    <row r="816" spans="1:11">
      <c r="B816" t="s">
        <v>1744</v>
      </c>
      <c r="C816" t="s">
        <v>1786</v>
      </c>
      <c r="D816" s="3" t="s">
        <v>2130</v>
      </c>
      <c r="E816" s="7">
        <v>35</v>
      </c>
      <c r="F816">
        <f t="shared" si="170"/>
        <v>49</v>
      </c>
      <c r="G816">
        <f t="shared" si="169"/>
        <v>53.900000000000006</v>
      </c>
      <c r="H816" s="7">
        <v>350</v>
      </c>
      <c r="I816">
        <f t="shared" ref="I816:I879" si="171">H816*1.4</f>
        <v>489.99999999999994</v>
      </c>
      <c r="J816">
        <f t="shared" ref="J816:J879" si="172">I816*1.1</f>
        <v>539</v>
      </c>
      <c r="K816" s="7" t="s">
        <v>2131</v>
      </c>
    </row>
    <row r="817" spans="2:11">
      <c r="B817" t="s">
        <v>1744</v>
      </c>
      <c r="C817" t="s">
        <v>1787</v>
      </c>
      <c r="D817" s="3" t="s">
        <v>2132</v>
      </c>
      <c r="E817" s="7">
        <v>300</v>
      </c>
      <c r="F817">
        <f t="shared" si="170"/>
        <v>420</v>
      </c>
      <c r="G817">
        <f t="shared" si="169"/>
        <v>462.00000000000006</v>
      </c>
      <c r="H817" s="7">
        <v>11999</v>
      </c>
      <c r="I817">
        <f t="shared" si="171"/>
        <v>16798.599999999999</v>
      </c>
      <c r="J817">
        <f t="shared" si="172"/>
        <v>18478.46</v>
      </c>
      <c r="K817" s="7" t="s">
        <v>2133</v>
      </c>
    </row>
    <row r="818" spans="2:11">
      <c r="B818" t="s">
        <v>1744</v>
      </c>
      <c r="C818" t="s">
        <v>1788</v>
      </c>
      <c r="D818" s="3" t="s">
        <v>2134</v>
      </c>
      <c r="E818" s="7">
        <v>70</v>
      </c>
      <c r="F818">
        <f t="shared" si="170"/>
        <v>98</v>
      </c>
      <c r="G818">
        <f t="shared" si="169"/>
        <v>107.80000000000001</v>
      </c>
      <c r="H818" s="7">
        <v>1898</v>
      </c>
      <c r="I818">
        <f t="shared" si="171"/>
        <v>2657.2</v>
      </c>
      <c r="J818">
        <f t="shared" si="172"/>
        <v>2922.92</v>
      </c>
      <c r="K818" s="7" t="s">
        <v>2135</v>
      </c>
    </row>
    <row r="819" spans="2:11">
      <c r="B819" t="s">
        <v>1744</v>
      </c>
      <c r="C819" t="s">
        <v>1789</v>
      </c>
      <c r="D819" s="3" t="s">
        <v>2136</v>
      </c>
      <c r="E819" s="7">
        <v>130</v>
      </c>
      <c r="F819">
        <f t="shared" si="170"/>
        <v>182</v>
      </c>
      <c r="G819">
        <f t="shared" si="169"/>
        <v>200.20000000000002</v>
      </c>
      <c r="H819" s="7">
        <v>3198</v>
      </c>
      <c r="I819">
        <f t="shared" si="171"/>
        <v>4477.2</v>
      </c>
      <c r="J819">
        <f t="shared" si="172"/>
        <v>4924.92</v>
      </c>
      <c r="K819" s="7" t="s">
        <v>2137</v>
      </c>
    </row>
    <row r="820" spans="2:11">
      <c r="B820" t="s">
        <v>1744</v>
      </c>
      <c r="C820" t="s">
        <v>1790</v>
      </c>
      <c r="D820" s="3" t="s">
        <v>2138</v>
      </c>
      <c r="E820" s="7">
        <v>60</v>
      </c>
      <c r="F820">
        <f t="shared" si="170"/>
        <v>84</v>
      </c>
      <c r="G820">
        <f t="shared" si="169"/>
        <v>92.4</v>
      </c>
      <c r="H820" s="7">
        <v>650</v>
      </c>
      <c r="I820">
        <f t="shared" si="171"/>
        <v>909.99999999999989</v>
      </c>
      <c r="J820">
        <f t="shared" si="172"/>
        <v>1001</v>
      </c>
      <c r="K820" s="7" t="s">
        <v>2139</v>
      </c>
    </row>
    <row r="821" spans="2:11">
      <c r="B821" t="s">
        <v>1744</v>
      </c>
      <c r="C821" t="s">
        <v>1791</v>
      </c>
      <c r="D821" s="3" t="s">
        <v>2140</v>
      </c>
      <c r="E821" s="7">
        <v>35</v>
      </c>
      <c r="F821">
        <f t="shared" si="170"/>
        <v>49</v>
      </c>
      <c r="G821">
        <f t="shared" ref="G821:G884" si="173">F821*1.1</f>
        <v>53.900000000000006</v>
      </c>
      <c r="H821" s="7">
        <v>1400</v>
      </c>
      <c r="I821">
        <f t="shared" si="171"/>
        <v>1959.9999999999998</v>
      </c>
      <c r="J821">
        <f t="shared" si="172"/>
        <v>2156</v>
      </c>
      <c r="K821" s="7" t="s">
        <v>2141</v>
      </c>
    </row>
    <row r="822" spans="2:11">
      <c r="B822" t="s">
        <v>1744</v>
      </c>
      <c r="C822" t="s">
        <v>1792</v>
      </c>
      <c r="D822" s="3" t="s">
        <v>2142</v>
      </c>
      <c r="E822" s="7">
        <v>20</v>
      </c>
      <c r="F822">
        <f t="shared" si="170"/>
        <v>28</v>
      </c>
      <c r="G822">
        <f t="shared" si="173"/>
        <v>30.800000000000004</v>
      </c>
      <c r="H822" s="7">
        <v>450</v>
      </c>
      <c r="I822">
        <f t="shared" si="171"/>
        <v>630</v>
      </c>
      <c r="J822">
        <f t="shared" si="172"/>
        <v>693</v>
      </c>
      <c r="K822" s="7" t="s">
        <v>2143</v>
      </c>
    </row>
    <row r="823" spans="2:11">
      <c r="B823" t="s">
        <v>1744</v>
      </c>
      <c r="C823" t="s">
        <v>1793</v>
      </c>
      <c r="D823" s="3" t="s">
        <v>2144</v>
      </c>
      <c r="E823" s="7">
        <v>15</v>
      </c>
      <c r="F823">
        <f t="shared" si="170"/>
        <v>21</v>
      </c>
      <c r="G823">
        <f t="shared" si="173"/>
        <v>23.1</v>
      </c>
      <c r="H823" s="7">
        <v>300</v>
      </c>
      <c r="I823">
        <f t="shared" si="171"/>
        <v>420</v>
      </c>
      <c r="J823">
        <f t="shared" si="172"/>
        <v>462.00000000000006</v>
      </c>
      <c r="K823" s="7" t="s">
        <v>2145</v>
      </c>
    </row>
    <row r="824" spans="2:11">
      <c r="B824" t="s">
        <v>1744</v>
      </c>
      <c r="C824" t="s">
        <v>1794</v>
      </c>
      <c r="D824" s="3" t="s">
        <v>2146</v>
      </c>
      <c r="E824" s="7">
        <v>25</v>
      </c>
      <c r="F824">
        <f t="shared" si="170"/>
        <v>35</v>
      </c>
      <c r="G824">
        <f t="shared" si="173"/>
        <v>38.5</v>
      </c>
      <c r="H824" s="7">
        <v>700</v>
      </c>
      <c r="I824">
        <f t="shared" si="171"/>
        <v>979.99999999999989</v>
      </c>
      <c r="J824">
        <f t="shared" si="172"/>
        <v>1078</v>
      </c>
      <c r="K824" s="7" t="s">
        <v>2147</v>
      </c>
    </row>
    <row r="825" spans="2:11">
      <c r="B825" t="s">
        <v>1744</v>
      </c>
      <c r="C825" t="s">
        <v>1795</v>
      </c>
      <c r="D825" s="3" t="s">
        <v>2149</v>
      </c>
      <c r="E825" s="7">
        <v>50</v>
      </c>
      <c r="F825">
        <f t="shared" si="170"/>
        <v>70</v>
      </c>
      <c r="G825">
        <f t="shared" si="173"/>
        <v>77</v>
      </c>
      <c r="H825" s="7">
        <v>900</v>
      </c>
      <c r="I825">
        <f t="shared" si="171"/>
        <v>1260</v>
      </c>
      <c r="J825">
        <f t="shared" si="172"/>
        <v>1386</v>
      </c>
      <c r="K825" s="7" t="s">
        <v>2150</v>
      </c>
    </row>
    <row r="826" spans="2:11">
      <c r="B826" t="s">
        <v>1744</v>
      </c>
      <c r="C826" t="s">
        <v>1796</v>
      </c>
      <c r="D826" s="3" t="s">
        <v>2151</v>
      </c>
      <c r="E826" s="7">
        <v>70</v>
      </c>
      <c r="F826">
        <f t="shared" si="170"/>
        <v>98</v>
      </c>
      <c r="G826">
        <f t="shared" si="173"/>
        <v>107.80000000000001</v>
      </c>
      <c r="H826" s="7">
        <v>1400</v>
      </c>
      <c r="I826">
        <f t="shared" si="171"/>
        <v>1959.9999999999998</v>
      </c>
      <c r="J826">
        <f t="shared" si="172"/>
        <v>2156</v>
      </c>
      <c r="K826" s="7" t="s">
        <v>2152</v>
      </c>
    </row>
    <row r="827" spans="2:11">
      <c r="B827" t="s">
        <v>1744</v>
      </c>
      <c r="C827" t="s">
        <v>1797</v>
      </c>
      <c r="D827" s="3" t="s">
        <v>2153</v>
      </c>
      <c r="E827" s="7">
        <v>52</v>
      </c>
      <c r="F827">
        <f t="shared" si="170"/>
        <v>72.8</v>
      </c>
      <c r="G827">
        <f t="shared" si="173"/>
        <v>80.08</v>
      </c>
      <c r="H827" s="7">
        <v>900</v>
      </c>
      <c r="I827">
        <f t="shared" si="171"/>
        <v>1260</v>
      </c>
      <c r="J827">
        <f t="shared" si="172"/>
        <v>1386</v>
      </c>
      <c r="K827" s="7" t="s">
        <v>2154</v>
      </c>
    </row>
    <row r="828" spans="2:11">
      <c r="B828" t="s">
        <v>1744</v>
      </c>
      <c r="C828" t="s">
        <v>1798</v>
      </c>
      <c r="D828" s="3" t="s">
        <v>2155</v>
      </c>
      <c r="E828" s="7">
        <v>325</v>
      </c>
      <c r="F828">
        <f t="shared" si="170"/>
        <v>454.99999999999994</v>
      </c>
      <c r="G828">
        <f t="shared" si="173"/>
        <v>500.5</v>
      </c>
      <c r="H828" s="7">
        <v>2700</v>
      </c>
      <c r="I828">
        <f t="shared" si="171"/>
        <v>3779.9999999999995</v>
      </c>
      <c r="J828">
        <f t="shared" si="172"/>
        <v>4158</v>
      </c>
      <c r="K828" s="7" t="s">
        <v>2156</v>
      </c>
    </row>
    <row r="829" spans="2:11">
      <c r="B829" t="s">
        <v>1744</v>
      </c>
      <c r="C829" t="s">
        <v>1799</v>
      </c>
      <c r="D829" s="3" t="s">
        <v>2157</v>
      </c>
      <c r="E829" s="7">
        <v>500</v>
      </c>
      <c r="F829">
        <f t="shared" ref="F829:F892" si="174">E829*1.4</f>
        <v>700</v>
      </c>
      <c r="G829">
        <f t="shared" si="173"/>
        <v>770.00000000000011</v>
      </c>
      <c r="H829" s="7">
        <v>65000</v>
      </c>
      <c r="I829">
        <f t="shared" si="171"/>
        <v>91000</v>
      </c>
      <c r="J829">
        <f t="shared" si="172"/>
        <v>100100.00000000001</v>
      </c>
      <c r="K829" s="7" t="s">
        <v>2158</v>
      </c>
    </row>
    <row r="830" spans="2:11">
      <c r="B830" t="s">
        <v>1744</v>
      </c>
      <c r="C830" t="s">
        <v>1800</v>
      </c>
      <c r="D830" s="3" t="s">
        <v>2159</v>
      </c>
      <c r="E830" s="7">
        <v>450</v>
      </c>
      <c r="F830">
        <f t="shared" si="174"/>
        <v>630</v>
      </c>
      <c r="G830">
        <f t="shared" si="173"/>
        <v>693</v>
      </c>
      <c r="H830" s="7">
        <v>4000</v>
      </c>
      <c r="I830">
        <f t="shared" si="171"/>
        <v>5600</v>
      </c>
      <c r="J830">
        <f t="shared" si="172"/>
        <v>6160.0000000000009</v>
      </c>
      <c r="K830" s="7" t="s">
        <v>2160</v>
      </c>
    </row>
    <row r="831" spans="2:11">
      <c r="B831" t="s">
        <v>1744</v>
      </c>
      <c r="C831" t="s">
        <v>1801</v>
      </c>
      <c r="D831" s="3" t="s">
        <v>2161</v>
      </c>
      <c r="F831">
        <f t="shared" si="174"/>
        <v>0</v>
      </c>
      <c r="G831">
        <f t="shared" si="173"/>
        <v>0</v>
      </c>
      <c r="H831" s="7">
        <v>32350</v>
      </c>
      <c r="I831">
        <f t="shared" si="171"/>
        <v>45290</v>
      </c>
      <c r="J831">
        <f t="shared" si="172"/>
        <v>49819.000000000007</v>
      </c>
      <c r="K831" s="7" t="s">
        <v>2162</v>
      </c>
    </row>
    <row r="832" spans="2:11">
      <c r="B832" t="s">
        <v>1744</v>
      </c>
      <c r="C832" t="s">
        <v>1802</v>
      </c>
      <c r="D832" s="3" t="s">
        <v>2163</v>
      </c>
      <c r="E832" s="7">
        <v>525</v>
      </c>
      <c r="F832">
        <f t="shared" si="174"/>
        <v>735</v>
      </c>
      <c r="G832">
        <f t="shared" si="173"/>
        <v>808.50000000000011</v>
      </c>
      <c r="H832" s="7">
        <v>29000</v>
      </c>
      <c r="I832">
        <f t="shared" si="171"/>
        <v>40600</v>
      </c>
      <c r="J832">
        <f t="shared" si="172"/>
        <v>44660</v>
      </c>
      <c r="K832" s="7" t="s">
        <v>2164</v>
      </c>
    </row>
    <row r="833" spans="2:11">
      <c r="B833" t="s">
        <v>1744</v>
      </c>
      <c r="C833" t="s">
        <v>1803</v>
      </c>
      <c r="D833" s="3" t="s">
        <v>2165</v>
      </c>
      <c r="E833" s="7">
        <v>210</v>
      </c>
      <c r="F833">
        <f t="shared" si="174"/>
        <v>294</v>
      </c>
      <c r="G833">
        <f t="shared" si="173"/>
        <v>323.40000000000003</v>
      </c>
      <c r="H833" s="7">
        <v>6750</v>
      </c>
      <c r="I833">
        <f t="shared" si="171"/>
        <v>9450</v>
      </c>
      <c r="J833">
        <f t="shared" si="172"/>
        <v>10395</v>
      </c>
      <c r="K833" s="7" t="s">
        <v>2166</v>
      </c>
    </row>
    <row r="834" spans="2:11">
      <c r="B834" t="s">
        <v>1744</v>
      </c>
      <c r="C834" t="s">
        <v>1804</v>
      </c>
      <c r="D834" s="3" t="s">
        <v>2167</v>
      </c>
      <c r="E834" s="7">
        <v>37</v>
      </c>
      <c r="F834">
        <f t="shared" si="174"/>
        <v>51.8</v>
      </c>
      <c r="G834">
        <f t="shared" si="173"/>
        <v>56.980000000000004</v>
      </c>
      <c r="H834" s="7">
        <v>1500</v>
      </c>
      <c r="I834">
        <f t="shared" si="171"/>
        <v>2100</v>
      </c>
      <c r="J834">
        <f t="shared" si="172"/>
        <v>2310</v>
      </c>
      <c r="K834" s="7" t="s">
        <v>2168</v>
      </c>
    </row>
    <row r="835" spans="2:11">
      <c r="B835" t="s">
        <v>1744</v>
      </c>
      <c r="C835" t="s">
        <v>1805</v>
      </c>
      <c r="D835" s="3" t="s">
        <v>2169</v>
      </c>
      <c r="E835" s="7">
        <v>41</v>
      </c>
      <c r="F835">
        <f t="shared" si="174"/>
        <v>57.4</v>
      </c>
      <c r="G835">
        <f t="shared" si="173"/>
        <v>63.14</v>
      </c>
      <c r="H835" s="7">
        <v>2600</v>
      </c>
      <c r="I835">
        <f t="shared" si="171"/>
        <v>3639.9999999999995</v>
      </c>
      <c r="J835">
        <f t="shared" si="172"/>
        <v>4004</v>
      </c>
      <c r="K835" s="7" t="s">
        <v>2170</v>
      </c>
    </row>
    <row r="836" spans="2:11">
      <c r="B836" t="s">
        <v>1744</v>
      </c>
      <c r="C836" t="s">
        <v>1806</v>
      </c>
      <c r="D836" s="3" t="s">
        <v>2171</v>
      </c>
      <c r="E836" s="7">
        <v>40</v>
      </c>
      <c r="F836">
        <f t="shared" si="174"/>
        <v>56</v>
      </c>
      <c r="G836">
        <f t="shared" si="173"/>
        <v>61.600000000000009</v>
      </c>
      <c r="H836" s="7">
        <v>2500</v>
      </c>
      <c r="I836">
        <f t="shared" si="171"/>
        <v>3500</v>
      </c>
      <c r="J836">
        <f t="shared" si="172"/>
        <v>3850.0000000000005</v>
      </c>
      <c r="K836" s="7" t="s">
        <v>2172</v>
      </c>
    </row>
    <row r="837" spans="2:11">
      <c r="B837" t="s">
        <v>1744</v>
      </c>
      <c r="C837" t="s">
        <v>1807</v>
      </c>
      <c r="D837" s="3" t="s">
        <v>2173</v>
      </c>
      <c r="E837" s="7">
        <v>28</v>
      </c>
      <c r="F837">
        <f t="shared" si="174"/>
        <v>39.199999999999996</v>
      </c>
      <c r="G837">
        <f t="shared" si="173"/>
        <v>43.12</v>
      </c>
      <c r="H837" s="7">
        <v>1700</v>
      </c>
      <c r="I837">
        <f t="shared" si="171"/>
        <v>2380</v>
      </c>
      <c r="J837">
        <f t="shared" si="172"/>
        <v>2618</v>
      </c>
      <c r="K837" s="7" t="s">
        <v>2174</v>
      </c>
    </row>
    <row r="838" spans="2:11">
      <c r="B838" t="s">
        <v>1744</v>
      </c>
      <c r="C838" t="s">
        <v>1808</v>
      </c>
      <c r="D838" s="3" t="s">
        <v>2175</v>
      </c>
      <c r="E838" s="7">
        <v>85</v>
      </c>
      <c r="F838">
        <f t="shared" si="174"/>
        <v>118.99999999999999</v>
      </c>
      <c r="G838">
        <f t="shared" si="173"/>
        <v>130.9</v>
      </c>
      <c r="H838" s="7">
        <v>2500</v>
      </c>
      <c r="I838">
        <f t="shared" si="171"/>
        <v>3500</v>
      </c>
      <c r="J838">
        <f t="shared" si="172"/>
        <v>3850.0000000000005</v>
      </c>
      <c r="K838" s="7" t="s">
        <v>2176</v>
      </c>
    </row>
    <row r="839" spans="2:11">
      <c r="B839" t="s">
        <v>1744</v>
      </c>
      <c r="C839" t="s">
        <v>1809</v>
      </c>
      <c r="D839" s="3" t="s">
        <v>2177</v>
      </c>
      <c r="E839" s="7">
        <v>20</v>
      </c>
      <c r="F839">
        <f t="shared" si="174"/>
        <v>28</v>
      </c>
      <c r="G839">
        <f t="shared" si="173"/>
        <v>30.800000000000004</v>
      </c>
      <c r="H839" s="7">
        <v>1100</v>
      </c>
      <c r="I839">
        <f t="shared" si="171"/>
        <v>1540</v>
      </c>
      <c r="J839">
        <f t="shared" si="172"/>
        <v>1694.0000000000002</v>
      </c>
      <c r="K839" s="7" t="s">
        <v>2178</v>
      </c>
    </row>
    <row r="840" spans="2:11">
      <c r="B840" t="s">
        <v>1744</v>
      </c>
      <c r="C840" t="s">
        <v>1810</v>
      </c>
      <c r="D840" s="3" t="s">
        <v>2179</v>
      </c>
      <c r="F840">
        <f t="shared" si="174"/>
        <v>0</v>
      </c>
      <c r="G840">
        <f t="shared" si="173"/>
        <v>0</v>
      </c>
      <c r="H840" s="7">
        <v>800</v>
      </c>
      <c r="I840">
        <f t="shared" si="171"/>
        <v>1120</v>
      </c>
      <c r="J840">
        <f t="shared" si="172"/>
        <v>1232</v>
      </c>
      <c r="K840" s="7" t="s">
        <v>2180</v>
      </c>
    </row>
    <row r="841" spans="2:11">
      <c r="F841">
        <f t="shared" si="174"/>
        <v>0</v>
      </c>
      <c r="G841">
        <f t="shared" si="173"/>
        <v>0</v>
      </c>
      <c r="I841">
        <f t="shared" si="171"/>
        <v>0</v>
      </c>
      <c r="J841">
        <f t="shared" si="172"/>
        <v>0</v>
      </c>
    </row>
    <row r="842" spans="2:11">
      <c r="B842" t="s">
        <v>1811</v>
      </c>
      <c r="C842" t="s">
        <v>1812</v>
      </c>
      <c r="D842" s="3" t="s">
        <v>2181</v>
      </c>
      <c r="E842" s="7">
        <v>10</v>
      </c>
      <c r="F842">
        <f t="shared" si="174"/>
        <v>14</v>
      </c>
      <c r="G842">
        <f t="shared" si="173"/>
        <v>15.400000000000002</v>
      </c>
      <c r="H842" s="7">
        <v>99</v>
      </c>
      <c r="I842">
        <f t="shared" si="171"/>
        <v>138.6</v>
      </c>
      <c r="J842">
        <f t="shared" si="172"/>
        <v>152.46</v>
      </c>
      <c r="K842" s="7" t="s">
        <v>2182</v>
      </c>
    </row>
    <row r="843" spans="2:11">
      <c r="F843">
        <f t="shared" si="174"/>
        <v>0</v>
      </c>
      <c r="G843">
        <f t="shared" si="173"/>
        <v>0</v>
      </c>
      <c r="I843">
        <f t="shared" si="171"/>
        <v>0</v>
      </c>
      <c r="J843">
        <f t="shared" si="172"/>
        <v>0</v>
      </c>
    </row>
    <row r="844" spans="2:11">
      <c r="B844" t="s">
        <v>1813</v>
      </c>
      <c r="C844" t="s">
        <v>1816</v>
      </c>
      <c r="D844" s="3" t="s">
        <v>2183</v>
      </c>
      <c r="E844" s="7">
        <v>20</v>
      </c>
      <c r="F844">
        <f t="shared" si="174"/>
        <v>28</v>
      </c>
      <c r="G844">
        <f t="shared" si="173"/>
        <v>30.800000000000004</v>
      </c>
      <c r="H844" s="7">
        <v>329</v>
      </c>
      <c r="I844">
        <f t="shared" si="171"/>
        <v>460.59999999999997</v>
      </c>
      <c r="J844">
        <f t="shared" si="172"/>
        <v>506.66</v>
      </c>
      <c r="K844" s="7" t="s">
        <v>2184</v>
      </c>
    </row>
    <row r="845" spans="2:11">
      <c r="B845" t="s">
        <v>1813</v>
      </c>
      <c r="C845" t="s">
        <v>1814</v>
      </c>
      <c r="D845" s="3" t="s">
        <v>2185</v>
      </c>
      <c r="E845" s="7">
        <v>30</v>
      </c>
      <c r="F845">
        <f t="shared" si="174"/>
        <v>42</v>
      </c>
      <c r="G845">
        <f t="shared" si="173"/>
        <v>46.2</v>
      </c>
      <c r="H845" s="7">
        <v>629</v>
      </c>
      <c r="I845">
        <f t="shared" si="171"/>
        <v>880.59999999999991</v>
      </c>
      <c r="J845">
        <f t="shared" si="172"/>
        <v>968.66</v>
      </c>
      <c r="K845" s="7" t="s">
        <v>2186</v>
      </c>
    </row>
    <row r="846" spans="2:11">
      <c r="B846" t="s">
        <v>1813</v>
      </c>
      <c r="C846" t="s">
        <v>1817</v>
      </c>
      <c r="D846" s="3" t="s">
        <v>2187</v>
      </c>
      <c r="E846" s="7">
        <v>35</v>
      </c>
      <c r="F846">
        <f t="shared" si="174"/>
        <v>49</v>
      </c>
      <c r="G846">
        <f t="shared" si="173"/>
        <v>53.900000000000006</v>
      </c>
      <c r="H846" s="7">
        <v>1500</v>
      </c>
      <c r="I846">
        <f t="shared" si="171"/>
        <v>2100</v>
      </c>
      <c r="J846">
        <f t="shared" si="172"/>
        <v>2310</v>
      </c>
      <c r="K846" s="7" t="s">
        <v>2188</v>
      </c>
    </row>
    <row r="847" spans="2:11">
      <c r="B847" t="s">
        <v>1813</v>
      </c>
      <c r="C847" t="s">
        <v>1818</v>
      </c>
      <c r="D847" s="3" t="s">
        <v>2189</v>
      </c>
      <c r="E847" s="7">
        <v>20</v>
      </c>
      <c r="F847">
        <f t="shared" si="174"/>
        <v>28</v>
      </c>
      <c r="G847">
        <f t="shared" si="173"/>
        <v>30.800000000000004</v>
      </c>
      <c r="H847" s="7">
        <v>460</v>
      </c>
      <c r="I847">
        <f t="shared" si="171"/>
        <v>644</v>
      </c>
      <c r="J847">
        <f t="shared" si="172"/>
        <v>708.40000000000009</v>
      </c>
      <c r="K847" s="7" t="s">
        <v>2190</v>
      </c>
    </row>
    <row r="848" spans="2:11">
      <c r="B848" t="s">
        <v>1813</v>
      </c>
      <c r="C848" t="s">
        <v>1819</v>
      </c>
      <c r="D848" s="3" t="s">
        <v>2189</v>
      </c>
      <c r="E848" s="7">
        <v>20</v>
      </c>
      <c r="F848">
        <f t="shared" si="174"/>
        <v>28</v>
      </c>
      <c r="G848">
        <f t="shared" si="173"/>
        <v>30.800000000000004</v>
      </c>
      <c r="H848" s="7">
        <v>460</v>
      </c>
      <c r="I848">
        <f t="shared" si="171"/>
        <v>644</v>
      </c>
      <c r="J848">
        <f t="shared" si="172"/>
        <v>708.40000000000009</v>
      </c>
      <c r="K848" s="7" t="s">
        <v>2191</v>
      </c>
    </row>
    <row r="849" spans="2:11">
      <c r="B849" t="s">
        <v>1813</v>
      </c>
      <c r="C849" t="s">
        <v>1815</v>
      </c>
      <c r="E849" s="7">
        <v>10</v>
      </c>
      <c r="F849">
        <f t="shared" si="174"/>
        <v>14</v>
      </c>
      <c r="G849">
        <f t="shared" si="173"/>
        <v>15.400000000000002</v>
      </c>
      <c r="I849">
        <f t="shared" si="171"/>
        <v>0</v>
      </c>
      <c r="J849">
        <f t="shared" si="172"/>
        <v>0</v>
      </c>
    </row>
    <row r="850" spans="2:11">
      <c r="B850" t="s">
        <v>1813</v>
      </c>
      <c r="C850" t="s">
        <v>1820</v>
      </c>
      <c r="E850" s="7">
        <v>20</v>
      </c>
      <c r="F850">
        <f t="shared" si="174"/>
        <v>28</v>
      </c>
      <c r="G850">
        <f t="shared" si="173"/>
        <v>30.800000000000004</v>
      </c>
      <c r="H850" s="7">
        <v>100</v>
      </c>
      <c r="I850">
        <f t="shared" si="171"/>
        <v>140</v>
      </c>
      <c r="J850">
        <f t="shared" si="172"/>
        <v>154</v>
      </c>
      <c r="K850" s="7" t="s">
        <v>2192</v>
      </c>
    </row>
    <row r="851" spans="2:11">
      <c r="B851" t="s">
        <v>1813</v>
      </c>
      <c r="C851" t="s">
        <v>1821</v>
      </c>
      <c r="E851" s="7">
        <v>30</v>
      </c>
      <c r="F851">
        <f t="shared" si="174"/>
        <v>42</v>
      </c>
      <c r="G851">
        <f t="shared" si="173"/>
        <v>46.2</v>
      </c>
      <c r="H851" s="7">
        <v>500</v>
      </c>
      <c r="I851">
        <f t="shared" si="171"/>
        <v>700</v>
      </c>
      <c r="J851">
        <f t="shared" si="172"/>
        <v>770.00000000000011</v>
      </c>
      <c r="K851" s="7" t="s">
        <v>2193</v>
      </c>
    </row>
    <row r="852" spans="2:11">
      <c r="B852" t="s">
        <v>1813</v>
      </c>
      <c r="C852" t="s">
        <v>1822</v>
      </c>
      <c r="E852" s="7">
        <v>25</v>
      </c>
      <c r="F852">
        <f t="shared" si="174"/>
        <v>35</v>
      </c>
      <c r="G852">
        <f t="shared" si="173"/>
        <v>38.5</v>
      </c>
      <c r="H852" s="7">
        <v>450</v>
      </c>
      <c r="I852">
        <f t="shared" si="171"/>
        <v>630</v>
      </c>
      <c r="J852">
        <f t="shared" si="172"/>
        <v>693</v>
      </c>
      <c r="K852" s="7" t="s">
        <v>2194</v>
      </c>
    </row>
    <row r="853" spans="2:11">
      <c r="B853" t="s">
        <v>1813</v>
      </c>
      <c r="C853" t="s">
        <v>1823</v>
      </c>
      <c r="D853" s="3" t="s">
        <v>2195</v>
      </c>
      <c r="E853" s="7">
        <v>35</v>
      </c>
      <c r="F853">
        <f t="shared" si="174"/>
        <v>49</v>
      </c>
      <c r="G853">
        <f t="shared" si="173"/>
        <v>53.900000000000006</v>
      </c>
      <c r="H853" s="7">
        <v>999</v>
      </c>
      <c r="I853">
        <f t="shared" si="171"/>
        <v>1398.6</v>
      </c>
      <c r="J853">
        <f t="shared" si="172"/>
        <v>1538.46</v>
      </c>
      <c r="K853" s="7" t="s">
        <v>2196</v>
      </c>
    </row>
    <row r="854" spans="2:11">
      <c r="B854" t="s">
        <v>1813</v>
      </c>
      <c r="C854" t="s">
        <v>1824</v>
      </c>
      <c r="E854" s="7">
        <v>20</v>
      </c>
      <c r="F854">
        <f t="shared" si="174"/>
        <v>28</v>
      </c>
      <c r="G854">
        <f t="shared" si="173"/>
        <v>30.800000000000004</v>
      </c>
      <c r="H854" s="7">
        <v>200</v>
      </c>
      <c r="I854">
        <f t="shared" si="171"/>
        <v>280</v>
      </c>
      <c r="J854">
        <f t="shared" si="172"/>
        <v>308</v>
      </c>
    </row>
    <row r="855" spans="2:11">
      <c r="B855" t="s">
        <v>1813</v>
      </c>
      <c r="C855" t="s">
        <v>1825</v>
      </c>
      <c r="E855" s="7">
        <v>39</v>
      </c>
      <c r="F855">
        <f t="shared" si="174"/>
        <v>54.599999999999994</v>
      </c>
      <c r="G855">
        <f t="shared" si="173"/>
        <v>60.059999999999995</v>
      </c>
      <c r="H855" s="7">
        <v>700</v>
      </c>
      <c r="I855">
        <f t="shared" si="171"/>
        <v>979.99999999999989</v>
      </c>
      <c r="J855">
        <f t="shared" si="172"/>
        <v>1078</v>
      </c>
    </row>
    <row r="856" spans="2:11">
      <c r="B856" t="s">
        <v>1813</v>
      </c>
      <c r="C856" t="s">
        <v>1826</v>
      </c>
      <c r="E856" s="7">
        <v>39</v>
      </c>
      <c r="F856">
        <f t="shared" si="174"/>
        <v>54.599999999999994</v>
      </c>
      <c r="G856">
        <f t="shared" si="173"/>
        <v>60.059999999999995</v>
      </c>
      <c r="H856" s="7">
        <v>329</v>
      </c>
      <c r="I856">
        <f t="shared" si="171"/>
        <v>460.59999999999997</v>
      </c>
      <c r="J856">
        <f t="shared" si="172"/>
        <v>506.66</v>
      </c>
      <c r="K856" s="7" t="s">
        <v>2197</v>
      </c>
    </row>
    <row r="857" spans="2:11">
      <c r="B857" t="s">
        <v>1813</v>
      </c>
      <c r="C857" t="s">
        <v>1827</v>
      </c>
      <c r="D857" s="3" t="s">
        <v>2198</v>
      </c>
      <c r="E857" s="7">
        <v>40</v>
      </c>
      <c r="F857">
        <f t="shared" si="174"/>
        <v>56</v>
      </c>
      <c r="G857">
        <f t="shared" si="173"/>
        <v>61.600000000000009</v>
      </c>
      <c r="H857" s="7">
        <v>1300</v>
      </c>
      <c r="I857">
        <f t="shared" si="171"/>
        <v>1819.9999999999998</v>
      </c>
      <c r="J857">
        <f t="shared" si="172"/>
        <v>2002</v>
      </c>
      <c r="K857" s="7" t="s">
        <v>2199</v>
      </c>
    </row>
    <row r="858" spans="2:11" ht="15.95" customHeight="1">
      <c r="B858" t="s">
        <v>1813</v>
      </c>
      <c r="C858" t="s">
        <v>1828</v>
      </c>
      <c r="D858" s="4" t="s">
        <v>2200</v>
      </c>
      <c r="E858" s="7">
        <v>15</v>
      </c>
      <c r="F858">
        <f t="shared" si="174"/>
        <v>21</v>
      </c>
      <c r="G858">
        <f t="shared" si="173"/>
        <v>23.1</v>
      </c>
      <c r="H858" s="7">
        <v>200</v>
      </c>
      <c r="I858">
        <f t="shared" si="171"/>
        <v>280</v>
      </c>
      <c r="J858">
        <f t="shared" si="172"/>
        <v>308</v>
      </c>
      <c r="K858" s="7" t="s">
        <v>2201</v>
      </c>
    </row>
    <row r="859" spans="2:11">
      <c r="B859" t="s">
        <v>1813</v>
      </c>
      <c r="C859" t="s">
        <v>1829</v>
      </c>
      <c r="E859" s="7">
        <v>30</v>
      </c>
      <c r="F859">
        <f t="shared" si="174"/>
        <v>42</v>
      </c>
      <c r="G859">
        <f t="shared" si="173"/>
        <v>46.2</v>
      </c>
      <c r="H859" s="7">
        <v>600</v>
      </c>
      <c r="I859">
        <f t="shared" si="171"/>
        <v>840</v>
      </c>
      <c r="J859">
        <f t="shared" si="172"/>
        <v>924.00000000000011</v>
      </c>
      <c r="K859" s="7" t="s">
        <v>2202</v>
      </c>
    </row>
    <row r="860" spans="2:11">
      <c r="F860">
        <f t="shared" si="174"/>
        <v>0</v>
      </c>
      <c r="G860">
        <f t="shared" si="173"/>
        <v>0</v>
      </c>
      <c r="I860">
        <f t="shared" si="171"/>
        <v>0</v>
      </c>
      <c r="J860">
        <f t="shared" si="172"/>
        <v>0</v>
      </c>
    </row>
    <row r="861" spans="2:11">
      <c r="B861" t="s">
        <v>1830</v>
      </c>
      <c r="C861" t="s">
        <v>1831</v>
      </c>
      <c r="D861" s="3" t="s">
        <v>2203</v>
      </c>
      <c r="E861" s="7">
        <v>35</v>
      </c>
      <c r="F861">
        <f t="shared" si="174"/>
        <v>49</v>
      </c>
      <c r="G861">
        <f t="shared" si="173"/>
        <v>53.900000000000006</v>
      </c>
      <c r="H861" s="7">
        <v>3750</v>
      </c>
      <c r="I861">
        <f t="shared" si="171"/>
        <v>5250</v>
      </c>
      <c r="J861">
        <f t="shared" si="172"/>
        <v>5775.0000000000009</v>
      </c>
      <c r="K861" s="7" t="s">
        <v>2204</v>
      </c>
    </row>
    <row r="862" spans="2:11">
      <c r="B862" t="s">
        <v>1830</v>
      </c>
      <c r="C862" t="s">
        <v>1832</v>
      </c>
      <c r="D862" s="3" t="s">
        <v>2205</v>
      </c>
      <c r="E862" s="7">
        <v>75</v>
      </c>
      <c r="F862">
        <f t="shared" si="174"/>
        <v>105</v>
      </c>
      <c r="G862">
        <f t="shared" si="173"/>
        <v>115.50000000000001</v>
      </c>
      <c r="H862" s="7">
        <v>11500</v>
      </c>
      <c r="I862">
        <f t="shared" si="171"/>
        <v>16099.999999999998</v>
      </c>
      <c r="J862">
        <f t="shared" si="172"/>
        <v>17710</v>
      </c>
      <c r="K862" s="7" t="s">
        <v>2206</v>
      </c>
    </row>
    <row r="863" spans="2:11">
      <c r="B863" t="s">
        <v>1830</v>
      </c>
      <c r="C863" t="s">
        <v>1833</v>
      </c>
      <c r="E863" s="7">
        <v>22</v>
      </c>
      <c r="F863">
        <f t="shared" si="174"/>
        <v>30.799999999999997</v>
      </c>
      <c r="G863">
        <f t="shared" si="173"/>
        <v>33.880000000000003</v>
      </c>
      <c r="H863" s="7">
        <v>620</v>
      </c>
      <c r="I863">
        <f t="shared" si="171"/>
        <v>868</v>
      </c>
      <c r="J863">
        <f t="shared" si="172"/>
        <v>954.80000000000007</v>
      </c>
      <c r="K863" s="7" t="s">
        <v>2207</v>
      </c>
    </row>
    <row r="864" spans="2:11">
      <c r="B864" t="s">
        <v>1830</v>
      </c>
      <c r="C864" t="s">
        <v>1834</v>
      </c>
      <c r="E864" s="7">
        <v>7</v>
      </c>
      <c r="F864">
        <f t="shared" si="174"/>
        <v>9.7999999999999989</v>
      </c>
      <c r="G864">
        <f t="shared" si="173"/>
        <v>10.78</v>
      </c>
      <c r="H864" s="7">
        <v>150</v>
      </c>
      <c r="I864">
        <f t="shared" si="171"/>
        <v>210</v>
      </c>
      <c r="J864">
        <f t="shared" si="172"/>
        <v>231.00000000000003</v>
      </c>
      <c r="K864" s="7" t="s">
        <v>2208</v>
      </c>
    </row>
    <row r="865" spans="2:11">
      <c r="B865" t="s">
        <v>1830</v>
      </c>
      <c r="C865" t="s">
        <v>1835</v>
      </c>
      <c r="D865" s="3" t="s">
        <v>2209</v>
      </c>
      <c r="E865" s="7">
        <v>65</v>
      </c>
      <c r="F865">
        <f t="shared" si="174"/>
        <v>91</v>
      </c>
      <c r="G865">
        <f t="shared" si="173"/>
        <v>100.10000000000001</v>
      </c>
      <c r="H865" s="7">
        <v>8455</v>
      </c>
      <c r="I865">
        <f t="shared" si="171"/>
        <v>11837</v>
      </c>
      <c r="J865">
        <f t="shared" si="172"/>
        <v>13020.7</v>
      </c>
      <c r="K865" s="7" t="s">
        <v>2210</v>
      </c>
    </row>
    <row r="866" spans="2:11">
      <c r="B866" t="s">
        <v>1830</v>
      </c>
      <c r="C866" t="s">
        <v>1836</v>
      </c>
      <c r="D866" s="3" t="s">
        <v>2211</v>
      </c>
      <c r="E866" s="7">
        <v>30</v>
      </c>
      <c r="F866">
        <f t="shared" si="174"/>
        <v>42</v>
      </c>
      <c r="G866">
        <f t="shared" si="173"/>
        <v>46.2</v>
      </c>
      <c r="H866" s="7">
        <v>1100</v>
      </c>
      <c r="I866">
        <f t="shared" si="171"/>
        <v>1540</v>
      </c>
      <c r="J866">
        <f t="shared" si="172"/>
        <v>1694.0000000000002</v>
      </c>
      <c r="K866" s="7" t="s">
        <v>2212</v>
      </c>
    </row>
    <row r="867" spans="2:11">
      <c r="B867" t="s">
        <v>1830</v>
      </c>
      <c r="C867" t="s">
        <v>1837</v>
      </c>
      <c r="D867" s="3" t="s">
        <v>2213</v>
      </c>
      <c r="E867" s="7">
        <v>50</v>
      </c>
      <c r="F867">
        <f t="shared" si="174"/>
        <v>70</v>
      </c>
      <c r="G867">
        <f t="shared" si="173"/>
        <v>77</v>
      </c>
      <c r="H867" s="7">
        <v>2100</v>
      </c>
      <c r="I867">
        <f t="shared" si="171"/>
        <v>2940</v>
      </c>
      <c r="J867">
        <f t="shared" si="172"/>
        <v>3234.0000000000005</v>
      </c>
      <c r="K867" s="7" t="s">
        <v>2214</v>
      </c>
    </row>
    <row r="868" spans="2:11">
      <c r="B868" t="s">
        <v>1830</v>
      </c>
      <c r="C868" t="s">
        <v>1838</v>
      </c>
      <c r="D868" s="3" t="s">
        <v>2215</v>
      </c>
      <c r="E868" s="7">
        <v>50</v>
      </c>
      <c r="F868">
        <f t="shared" si="174"/>
        <v>70</v>
      </c>
      <c r="G868">
        <f t="shared" si="173"/>
        <v>77</v>
      </c>
      <c r="H868" s="7">
        <v>2600</v>
      </c>
      <c r="I868">
        <f t="shared" si="171"/>
        <v>3639.9999999999995</v>
      </c>
      <c r="J868">
        <f t="shared" si="172"/>
        <v>4004</v>
      </c>
      <c r="K868" s="7" t="s">
        <v>2216</v>
      </c>
    </row>
    <row r="869" spans="2:11">
      <c r="B869" t="s">
        <v>1830</v>
      </c>
      <c r="C869" s="15" t="s">
        <v>1839</v>
      </c>
      <c r="D869" s="3" t="s">
        <v>2217</v>
      </c>
      <c r="E869" s="7">
        <v>42</v>
      </c>
      <c r="F869">
        <f t="shared" si="174"/>
        <v>58.8</v>
      </c>
      <c r="G869">
        <f t="shared" si="173"/>
        <v>64.680000000000007</v>
      </c>
      <c r="H869" s="7">
        <v>1500</v>
      </c>
      <c r="I869">
        <f t="shared" si="171"/>
        <v>2100</v>
      </c>
      <c r="J869">
        <f t="shared" si="172"/>
        <v>2310</v>
      </c>
      <c r="K869" s="7" t="s">
        <v>2218</v>
      </c>
    </row>
    <row r="870" spans="2:11">
      <c r="B870" t="s">
        <v>1830</v>
      </c>
      <c r="C870" s="15" t="s">
        <v>1840</v>
      </c>
      <c r="D870" s="3" t="s">
        <v>2219</v>
      </c>
      <c r="E870" s="7">
        <v>75</v>
      </c>
      <c r="F870">
        <f t="shared" si="174"/>
        <v>105</v>
      </c>
      <c r="G870">
        <f t="shared" si="173"/>
        <v>115.50000000000001</v>
      </c>
      <c r="H870" s="7">
        <v>4500</v>
      </c>
      <c r="I870">
        <f t="shared" si="171"/>
        <v>6300</v>
      </c>
      <c r="J870">
        <f t="shared" si="172"/>
        <v>6930.0000000000009</v>
      </c>
      <c r="K870" s="7" t="s">
        <v>2220</v>
      </c>
    </row>
    <row r="871" spans="2:11">
      <c r="B871" t="s">
        <v>1830</v>
      </c>
      <c r="C871" t="s">
        <v>1841</v>
      </c>
      <c r="D871" s="3" t="s">
        <v>2221</v>
      </c>
      <c r="E871" s="7">
        <v>75</v>
      </c>
      <c r="F871">
        <f t="shared" si="174"/>
        <v>105</v>
      </c>
      <c r="G871">
        <f t="shared" si="173"/>
        <v>115.50000000000001</v>
      </c>
      <c r="H871" s="7">
        <v>2500</v>
      </c>
      <c r="I871">
        <f t="shared" si="171"/>
        <v>3500</v>
      </c>
      <c r="J871">
        <f t="shared" si="172"/>
        <v>3850.0000000000005</v>
      </c>
      <c r="K871" s="7" t="s">
        <v>2222</v>
      </c>
    </row>
    <row r="872" spans="2:11">
      <c r="B872" t="s">
        <v>1830</v>
      </c>
      <c r="C872" t="s">
        <v>1842</v>
      </c>
      <c r="D872" s="3" t="s">
        <v>2223</v>
      </c>
      <c r="E872" s="7">
        <v>20</v>
      </c>
      <c r="F872">
        <f t="shared" si="174"/>
        <v>28</v>
      </c>
      <c r="G872">
        <f t="shared" si="173"/>
        <v>30.800000000000004</v>
      </c>
      <c r="H872" s="7">
        <v>700</v>
      </c>
      <c r="I872">
        <f t="shared" si="171"/>
        <v>979.99999999999989</v>
      </c>
      <c r="J872">
        <f t="shared" si="172"/>
        <v>1078</v>
      </c>
      <c r="K872" s="7" t="s">
        <v>2224</v>
      </c>
    </row>
    <row r="873" spans="2:11">
      <c r="F873">
        <f t="shared" si="174"/>
        <v>0</v>
      </c>
      <c r="G873">
        <f t="shared" si="173"/>
        <v>0</v>
      </c>
      <c r="I873">
        <f t="shared" si="171"/>
        <v>0</v>
      </c>
      <c r="J873">
        <f t="shared" si="172"/>
        <v>0</v>
      </c>
    </row>
    <row r="874" spans="2:11">
      <c r="B874" t="s">
        <v>1843</v>
      </c>
      <c r="C874" t="s">
        <v>1844</v>
      </c>
      <c r="D874" s="3" t="s">
        <v>2225</v>
      </c>
      <c r="E874" s="7">
        <v>75</v>
      </c>
      <c r="F874">
        <f t="shared" si="174"/>
        <v>105</v>
      </c>
      <c r="G874">
        <f t="shared" si="173"/>
        <v>115.50000000000001</v>
      </c>
      <c r="H874" s="7">
        <v>300</v>
      </c>
      <c r="I874">
        <f t="shared" si="171"/>
        <v>420</v>
      </c>
      <c r="J874">
        <f t="shared" si="172"/>
        <v>462.00000000000006</v>
      </c>
      <c r="K874" s="7" t="s">
        <v>2226</v>
      </c>
    </row>
    <row r="875" spans="2:11">
      <c r="B875" t="s">
        <v>1843</v>
      </c>
      <c r="C875" t="s">
        <v>2227</v>
      </c>
      <c r="D875" s="3" t="s">
        <v>2228</v>
      </c>
      <c r="E875" s="7">
        <v>100</v>
      </c>
      <c r="F875">
        <f t="shared" si="174"/>
        <v>140</v>
      </c>
      <c r="G875">
        <f t="shared" si="173"/>
        <v>154</v>
      </c>
      <c r="H875" s="7">
        <v>2000</v>
      </c>
      <c r="I875">
        <f t="shared" si="171"/>
        <v>2800</v>
      </c>
      <c r="J875">
        <f t="shared" si="172"/>
        <v>3080.0000000000005</v>
      </c>
      <c r="K875" s="7" t="s">
        <v>2229</v>
      </c>
    </row>
    <row r="876" spans="2:11">
      <c r="B876" t="s">
        <v>1843</v>
      </c>
      <c r="C876" t="s">
        <v>1845</v>
      </c>
      <c r="E876" s="7">
        <v>30</v>
      </c>
      <c r="F876">
        <f t="shared" si="174"/>
        <v>42</v>
      </c>
      <c r="G876">
        <f t="shared" si="173"/>
        <v>46.2</v>
      </c>
      <c r="H876" s="7">
        <v>252</v>
      </c>
      <c r="I876">
        <f t="shared" si="171"/>
        <v>352.79999999999995</v>
      </c>
      <c r="J876">
        <f t="shared" si="172"/>
        <v>388.08</v>
      </c>
      <c r="K876" s="7" t="s">
        <v>2230</v>
      </c>
    </row>
    <row r="877" spans="2:11">
      <c r="B877" t="s">
        <v>1843</v>
      </c>
      <c r="C877" t="s">
        <v>1846</v>
      </c>
      <c r="D877" s="3" t="s">
        <v>2228</v>
      </c>
      <c r="E877" s="7">
        <v>75</v>
      </c>
      <c r="F877">
        <f t="shared" si="174"/>
        <v>105</v>
      </c>
      <c r="G877">
        <f t="shared" si="173"/>
        <v>115.50000000000001</v>
      </c>
      <c r="H877" s="7">
        <v>2000</v>
      </c>
      <c r="I877">
        <f t="shared" si="171"/>
        <v>2800</v>
      </c>
      <c r="J877">
        <f t="shared" si="172"/>
        <v>3080.0000000000005</v>
      </c>
      <c r="K877" s="7" t="s">
        <v>2231</v>
      </c>
    </row>
    <row r="878" spans="2:11">
      <c r="B878" t="s">
        <v>1843</v>
      </c>
      <c r="C878" t="s">
        <v>1847</v>
      </c>
      <c r="D878" s="3" t="s">
        <v>2232</v>
      </c>
      <c r="E878" s="7">
        <v>50</v>
      </c>
      <c r="F878">
        <f t="shared" si="174"/>
        <v>70</v>
      </c>
      <c r="G878">
        <f t="shared" si="173"/>
        <v>77</v>
      </c>
      <c r="H878" s="7">
        <v>200</v>
      </c>
      <c r="I878">
        <f t="shared" si="171"/>
        <v>280</v>
      </c>
      <c r="J878">
        <f t="shared" si="172"/>
        <v>308</v>
      </c>
      <c r="K878" s="7" t="s">
        <v>2233</v>
      </c>
    </row>
    <row r="879" spans="2:11">
      <c r="B879" t="s">
        <v>1843</v>
      </c>
      <c r="C879" t="s">
        <v>1848</v>
      </c>
      <c r="D879" s="3" t="s">
        <v>2234</v>
      </c>
      <c r="E879" s="7">
        <v>30</v>
      </c>
      <c r="F879">
        <f t="shared" si="174"/>
        <v>42</v>
      </c>
      <c r="G879">
        <f t="shared" si="173"/>
        <v>46.2</v>
      </c>
      <c r="H879" s="7">
        <v>312</v>
      </c>
      <c r="I879">
        <f t="shared" si="171"/>
        <v>436.79999999999995</v>
      </c>
      <c r="J879">
        <f t="shared" si="172"/>
        <v>480.47999999999996</v>
      </c>
      <c r="K879" s="7" t="s">
        <v>2236</v>
      </c>
    </row>
    <row r="880" spans="2:11">
      <c r="B880" t="s">
        <v>1843</v>
      </c>
      <c r="C880" t="s">
        <v>1849</v>
      </c>
      <c r="D880" s="3" t="s">
        <v>2235</v>
      </c>
      <c r="E880" s="7">
        <v>55</v>
      </c>
      <c r="F880">
        <f t="shared" si="174"/>
        <v>77</v>
      </c>
      <c r="G880">
        <f t="shared" si="173"/>
        <v>84.7</v>
      </c>
      <c r="H880" s="7">
        <v>179</v>
      </c>
      <c r="I880">
        <f t="shared" ref="I880:I944" si="175">H880*1.4</f>
        <v>250.6</v>
      </c>
      <c r="J880">
        <f t="shared" ref="J880:J944" si="176">I880*1.1</f>
        <v>275.66000000000003</v>
      </c>
      <c r="K880" s="7" t="s">
        <v>2237</v>
      </c>
    </row>
    <row r="881" spans="1:11">
      <c r="B881" t="s">
        <v>1843</v>
      </c>
      <c r="C881" t="s">
        <v>1850</v>
      </c>
      <c r="D881" s="3" t="s">
        <v>2238</v>
      </c>
      <c r="E881" s="7">
        <v>45</v>
      </c>
      <c r="F881">
        <f t="shared" si="174"/>
        <v>62.999999999999993</v>
      </c>
      <c r="G881">
        <f t="shared" si="173"/>
        <v>69.3</v>
      </c>
      <c r="H881" s="7">
        <v>2000</v>
      </c>
      <c r="I881">
        <f t="shared" si="175"/>
        <v>2800</v>
      </c>
      <c r="J881">
        <f t="shared" si="176"/>
        <v>3080.0000000000005</v>
      </c>
      <c r="K881" s="7" t="s">
        <v>2239</v>
      </c>
    </row>
    <row r="882" spans="1:11">
      <c r="F882">
        <f t="shared" si="174"/>
        <v>0</v>
      </c>
      <c r="G882">
        <f t="shared" si="173"/>
        <v>0</v>
      </c>
      <c r="I882">
        <f t="shared" si="175"/>
        <v>0</v>
      </c>
      <c r="J882">
        <f t="shared" si="176"/>
        <v>0</v>
      </c>
    </row>
    <row r="883" spans="1:11" ht="23.25">
      <c r="A883" s="1" t="s">
        <v>1851</v>
      </c>
      <c r="F883">
        <f t="shared" si="174"/>
        <v>0</v>
      </c>
      <c r="G883">
        <f t="shared" si="173"/>
        <v>0</v>
      </c>
      <c r="I883">
        <f t="shared" si="175"/>
        <v>0</v>
      </c>
      <c r="J883">
        <f t="shared" si="176"/>
        <v>0</v>
      </c>
    </row>
    <row r="884" spans="1:11">
      <c r="B884" t="s">
        <v>1852</v>
      </c>
      <c r="C884" t="s">
        <v>1853</v>
      </c>
      <c r="D884" s="3" t="s">
        <v>2252</v>
      </c>
      <c r="E884" s="7">
        <v>25</v>
      </c>
      <c r="F884">
        <f t="shared" si="174"/>
        <v>35</v>
      </c>
      <c r="G884">
        <f t="shared" si="173"/>
        <v>38.5</v>
      </c>
      <c r="H884" s="7">
        <v>160</v>
      </c>
      <c r="I884">
        <f t="shared" si="175"/>
        <v>224</v>
      </c>
      <c r="J884">
        <f t="shared" si="176"/>
        <v>246.40000000000003</v>
      </c>
      <c r="K884" s="7" t="s">
        <v>2253</v>
      </c>
    </row>
    <row r="885" spans="1:11">
      <c r="F885">
        <f t="shared" si="174"/>
        <v>0</v>
      </c>
      <c r="G885">
        <f t="shared" ref="G885:G1026" si="177">F885*1.1</f>
        <v>0</v>
      </c>
      <c r="I885">
        <f t="shared" si="175"/>
        <v>0</v>
      </c>
      <c r="J885">
        <f t="shared" si="176"/>
        <v>0</v>
      </c>
    </row>
    <row r="886" spans="1:11">
      <c r="B886" t="s">
        <v>1854</v>
      </c>
      <c r="C886" t="s">
        <v>1855</v>
      </c>
      <c r="D886" s="3" t="s">
        <v>2254</v>
      </c>
      <c r="E886" s="7">
        <v>16</v>
      </c>
      <c r="F886">
        <f t="shared" si="174"/>
        <v>22.4</v>
      </c>
      <c r="G886">
        <f t="shared" si="177"/>
        <v>24.64</v>
      </c>
      <c r="H886" s="7">
        <v>179</v>
      </c>
      <c r="I886">
        <f t="shared" si="175"/>
        <v>250.6</v>
      </c>
      <c r="J886">
        <f t="shared" si="176"/>
        <v>275.66000000000003</v>
      </c>
      <c r="K886" s="7" t="s">
        <v>2255</v>
      </c>
    </row>
    <row r="887" spans="1:11">
      <c r="B887" t="s">
        <v>1854</v>
      </c>
      <c r="C887" t="s">
        <v>1856</v>
      </c>
      <c r="E887" s="7">
        <v>25</v>
      </c>
      <c r="F887">
        <f t="shared" si="174"/>
        <v>35</v>
      </c>
      <c r="G887">
        <f t="shared" si="177"/>
        <v>38.5</v>
      </c>
      <c r="H887" s="7">
        <v>185</v>
      </c>
      <c r="I887">
        <f t="shared" si="175"/>
        <v>259</v>
      </c>
      <c r="J887">
        <f t="shared" si="176"/>
        <v>284.90000000000003</v>
      </c>
      <c r="K887" s="7" t="s">
        <v>2256</v>
      </c>
    </row>
    <row r="888" spans="1:11">
      <c r="B888" t="s">
        <v>1854</v>
      </c>
      <c r="C888" t="s">
        <v>1857</v>
      </c>
      <c r="E888" s="7">
        <v>36</v>
      </c>
      <c r="F888">
        <f t="shared" si="174"/>
        <v>50.4</v>
      </c>
      <c r="G888">
        <f t="shared" si="177"/>
        <v>55.440000000000005</v>
      </c>
      <c r="H888" s="7">
        <v>600</v>
      </c>
      <c r="I888">
        <f t="shared" si="175"/>
        <v>840</v>
      </c>
      <c r="J888">
        <f t="shared" si="176"/>
        <v>924.00000000000011</v>
      </c>
      <c r="K888" s="7" t="s">
        <v>2257</v>
      </c>
    </row>
    <row r="889" spans="1:11">
      <c r="B889" t="s">
        <v>1854</v>
      </c>
      <c r="C889" t="s">
        <v>1858</v>
      </c>
      <c r="E889" s="7">
        <v>25</v>
      </c>
      <c r="F889">
        <f t="shared" si="174"/>
        <v>35</v>
      </c>
      <c r="G889">
        <f t="shared" si="177"/>
        <v>38.5</v>
      </c>
      <c r="H889" s="7">
        <v>200</v>
      </c>
      <c r="I889">
        <f t="shared" si="175"/>
        <v>280</v>
      </c>
      <c r="J889">
        <f t="shared" si="176"/>
        <v>308</v>
      </c>
      <c r="K889" s="7" t="s">
        <v>2258</v>
      </c>
    </row>
    <row r="890" spans="1:11">
      <c r="B890" t="s">
        <v>1854</v>
      </c>
      <c r="C890" t="s">
        <v>1859</v>
      </c>
      <c r="D890" s="3" t="s">
        <v>2259</v>
      </c>
      <c r="E890" s="7">
        <v>22</v>
      </c>
      <c r="F890">
        <f t="shared" si="174"/>
        <v>30.799999999999997</v>
      </c>
      <c r="G890">
        <f t="shared" si="177"/>
        <v>33.880000000000003</v>
      </c>
      <c r="H890" s="7">
        <v>400</v>
      </c>
      <c r="I890">
        <f t="shared" si="175"/>
        <v>560</v>
      </c>
      <c r="J890">
        <f t="shared" si="176"/>
        <v>616</v>
      </c>
      <c r="K890" s="7" t="s">
        <v>2260</v>
      </c>
    </row>
    <row r="891" spans="1:11">
      <c r="F891">
        <f t="shared" si="174"/>
        <v>0</v>
      </c>
      <c r="G891">
        <f t="shared" si="177"/>
        <v>0</v>
      </c>
      <c r="I891">
        <f t="shared" si="175"/>
        <v>0</v>
      </c>
      <c r="J891">
        <f t="shared" si="176"/>
        <v>0</v>
      </c>
    </row>
    <row r="892" spans="1:11">
      <c r="B892" t="s">
        <v>1860</v>
      </c>
      <c r="C892" t="s">
        <v>1861</v>
      </c>
      <c r="E892" s="7">
        <v>75</v>
      </c>
      <c r="F892">
        <f t="shared" si="174"/>
        <v>105</v>
      </c>
      <c r="G892">
        <f t="shared" si="177"/>
        <v>115.50000000000001</v>
      </c>
      <c r="H892" s="7">
        <v>1700</v>
      </c>
      <c r="I892">
        <f t="shared" si="175"/>
        <v>2380</v>
      </c>
      <c r="J892">
        <f t="shared" si="176"/>
        <v>2618</v>
      </c>
      <c r="K892" s="7" t="s">
        <v>2261</v>
      </c>
    </row>
    <row r="893" spans="1:11">
      <c r="B893" t="s">
        <v>1860</v>
      </c>
      <c r="C893" t="s">
        <v>1863</v>
      </c>
      <c r="D893" s="3" t="s">
        <v>2262</v>
      </c>
      <c r="E893" s="7">
        <v>31</v>
      </c>
      <c r="F893">
        <f t="shared" ref="F893:F991" si="178">E893*1.4</f>
        <v>43.4</v>
      </c>
      <c r="G893">
        <f t="shared" si="177"/>
        <v>47.74</v>
      </c>
      <c r="H893" s="7">
        <v>1049</v>
      </c>
      <c r="I893">
        <f t="shared" si="175"/>
        <v>1468.6</v>
      </c>
      <c r="J893">
        <f t="shared" si="176"/>
        <v>1615.46</v>
      </c>
      <c r="K893" s="7" t="s">
        <v>2263</v>
      </c>
    </row>
    <row r="894" spans="1:11">
      <c r="B894" t="s">
        <v>1860</v>
      </c>
      <c r="C894" t="s">
        <v>1862</v>
      </c>
      <c r="D894" s="3" t="s">
        <v>2264</v>
      </c>
      <c r="E894" s="7">
        <v>20</v>
      </c>
      <c r="F894">
        <f t="shared" si="178"/>
        <v>28</v>
      </c>
      <c r="G894">
        <f t="shared" si="177"/>
        <v>30.800000000000004</v>
      </c>
      <c r="H894" s="7">
        <v>350</v>
      </c>
      <c r="I894">
        <f t="shared" si="175"/>
        <v>489.99999999999994</v>
      </c>
      <c r="J894">
        <f t="shared" si="176"/>
        <v>539</v>
      </c>
      <c r="K894" s="7" t="s">
        <v>2265</v>
      </c>
    </row>
    <row r="895" spans="1:11">
      <c r="B895" t="s">
        <v>1860</v>
      </c>
      <c r="C895" t="s">
        <v>1864</v>
      </c>
      <c r="D895" s="3" t="s">
        <v>2266</v>
      </c>
      <c r="E895" s="7">
        <v>50</v>
      </c>
      <c r="F895">
        <f t="shared" si="178"/>
        <v>70</v>
      </c>
      <c r="G895">
        <f t="shared" si="177"/>
        <v>77</v>
      </c>
      <c r="H895" s="7">
        <v>1599</v>
      </c>
      <c r="I895">
        <f t="shared" si="175"/>
        <v>2238.6</v>
      </c>
      <c r="J895">
        <f t="shared" si="176"/>
        <v>2462.46</v>
      </c>
      <c r="K895" s="7" t="s">
        <v>2267</v>
      </c>
    </row>
    <row r="896" spans="1:11">
      <c r="B896" t="s">
        <v>1860</v>
      </c>
      <c r="C896" t="s">
        <v>1865</v>
      </c>
      <c r="D896" s="3" t="s">
        <v>2268</v>
      </c>
      <c r="E896" s="7">
        <v>37</v>
      </c>
      <c r="F896">
        <f t="shared" si="178"/>
        <v>51.8</v>
      </c>
      <c r="G896">
        <f t="shared" si="177"/>
        <v>56.980000000000004</v>
      </c>
      <c r="H896" s="7">
        <v>500</v>
      </c>
      <c r="I896">
        <f t="shared" si="175"/>
        <v>700</v>
      </c>
      <c r="J896">
        <f t="shared" si="176"/>
        <v>770.00000000000011</v>
      </c>
      <c r="K896" s="7" t="s">
        <v>2269</v>
      </c>
    </row>
    <row r="897" spans="1:11">
      <c r="F897">
        <f>E898*1.4</f>
        <v>56</v>
      </c>
      <c r="G897">
        <f t="shared" si="177"/>
        <v>61.600000000000009</v>
      </c>
      <c r="I897">
        <f>H898*1.4</f>
        <v>770</v>
      </c>
      <c r="J897">
        <f t="shared" si="176"/>
        <v>847.00000000000011</v>
      </c>
    </row>
    <row r="898" spans="1:11">
      <c r="B898" t="s">
        <v>652</v>
      </c>
      <c r="C898" t="s">
        <v>1866</v>
      </c>
      <c r="E898" s="7">
        <v>40</v>
      </c>
      <c r="F898">
        <f>E899*1.4</f>
        <v>28</v>
      </c>
      <c r="G898">
        <f t="shared" si="177"/>
        <v>30.800000000000004</v>
      </c>
      <c r="H898" s="7">
        <v>550</v>
      </c>
      <c r="I898">
        <f>H899*1.4</f>
        <v>672</v>
      </c>
      <c r="J898">
        <f t="shared" si="176"/>
        <v>739.2</v>
      </c>
      <c r="K898" s="7" t="s">
        <v>2270</v>
      </c>
    </row>
    <row r="899" spans="1:11">
      <c r="B899" t="s">
        <v>652</v>
      </c>
      <c r="C899" t="s">
        <v>1867</v>
      </c>
      <c r="E899" s="7">
        <v>20</v>
      </c>
      <c r="F899">
        <f>E900*1.4</f>
        <v>0</v>
      </c>
      <c r="G899">
        <f t="shared" si="177"/>
        <v>0</v>
      </c>
      <c r="H899" s="7">
        <v>480</v>
      </c>
      <c r="I899" t="e">
        <f>#REF!*1.4</f>
        <v>#REF!</v>
      </c>
      <c r="J899" t="e">
        <f t="shared" si="176"/>
        <v>#REF!</v>
      </c>
      <c r="K899" s="7" t="s">
        <v>2271</v>
      </c>
    </row>
    <row r="900" spans="1:11">
      <c r="F900">
        <f t="shared" si="178"/>
        <v>0</v>
      </c>
      <c r="G900">
        <f t="shared" si="177"/>
        <v>0</v>
      </c>
      <c r="I900">
        <f t="shared" si="175"/>
        <v>0</v>
      </c>
      <c r="J900">
        <f t="shared" si="176"/>
        <v>0</v>
      </c>
    </row>
    <row r="901" spans="1:11" ht="23.25">
      <c r="A901" s="1" t="s">
        <v>1868</v>
      </c>
      <c r="F901">
        <f t="shared" si="178"/>
        <v>0</v>
      </c>
      <c r="G901">
        <f t="shared" si="177"/>
        <v>0</v>
      </c>
      <c r="I901">
        <f t="shared" si="175"/>
        <v>0</v>
      </c>
      <c r="J901">
        <f t="shared" si="176"/>
        <v>0</v>
      </c>
    </row>
    <row r="902" spans="1:11">
      <c r="B902" t="s">
        <v>1869</v>
      </c>
      <c r="C902" t="s">
        <v>1870</v>
      </c>
      <c r="E902" s="7">
        <v>50</v>
      </c>
      <c r="F902">
        <f t="shared" si="178"/>
        <v>70</v>
      </c>
      <c r="G902">
        <f t="shared" si="177"/>
        <v>77</v>
      </c>
      <c r="H902" s="7">
        <v>349</v>
      </c>
      <c r="I902">
        <f t="shared" si="175"/>
        <v>488.59999999999997</v>
      </c>
      <c r="J902">
        <f t="shared" si="176"/>
        <v>537.46</v>
      </c>
      <c r="K902" s="7" t="s">
        <v>2241</v>
      </c>
    </row>
    <row r="903" spans="1:11">
      <c r="F903">
        <f t="shared" si="178"/>
        <v>0</v>
      </c>
      <c r="G903">
        <f t="shared" si="177"/>
        <v>0</v>
      </c>
      <c r="I903">
        <f t="shared" si="175"/>
        <v>0</v>
      </c>
      <c r="J903">
        <f t="shared" si="176"/>
        <v>0</v>
      </c>
    </row>
    <row r="904" spans="1:11">
      <c r="B904" t="s">
        <v>1872</v>
      </c>
      <c r="C904" t="s">
        <v>1871</v>
      </c>
      <c r="D904" s="3" t="s">
        <v>2240</v>
      </c>
      <c r="E904" s="7">
        <v>75</v>
      </c>
      <c r="F904">
        <f t="shared" si="178"/>
        <v>105</v>
      </c>
      <c r="G904">
        <f t="shared" si="177"/>
        <v>115.50000000000001</v>
      </c>
      <c r="H904" s="7">
        <v>800</v>
      </c>
      <c r="I904">
        <f t="shared" si="175"/>
        <v>1120</v>
      </c>
      <c r="J904">
        <f t="shared" si="176"/>
        <v>1232</v>
      </c>
      <c r="K904" s="7" t="s">
        <v>2242</v>
      </c>
    </row>
    <row r="905" spans="1:11">
      <c r="F905">
        <f t="shared" si="178"/>
        <v>0</v>
      </c>
      <c r="G905">
        <f t="shared" si="177"/>
        <v>0</v>
      </c>
      <c r="I905">
        <f t="shared" si="175"/>
        <v>0</v>
      </c>
      <c r="J905">
        <f t="shared" si="176"/>
        <v>0</v>
      </c>
    </row>
    <row r="906" spans="1:11" ht="23.25">
      <c r="A906" s="1" t="s">
        <v>1873</v>
      </c>
      <c r="F906">
        <f t="shared" si="178"/>
        <v>0</v>
      </c>
      <c r="G906">
        <f t="shared" si="177"/>
        <v>0</v>
      </c>
      <c r="I906">
        <f t="shared" si="175"/>
        <v>0</v>
      </c>
      <c r="J906">
        <f t="shared" si="176"/>
        <v>0</v>
      </c>
    </row>
    <row r="907" spans="1:11" ht="15.95" customHeight="1">
      <c r="A907" s="1"/>
      <c r="B907" t="s">
        <v>2008</v>
      </c>
      <c r="C907" t="s">
        <v>2009</v>
      </c>
      <c r="E907" s="7">
        <v>5</v>
      </c>
      <c r="F907">
        <f t="shared" si="178"/>
        <v>7</v>
      </c>
      <c r="G907">
        <f t="shared" si="177"/>
        <v>7.7000000000000011</v>
      </c>
      <c r="H907" s="7">
        <v>35</v>
      </c>
      <c r="I907">
        <f t="shared" si="175"/>
        <v>49</v>
      </c>
      <c r="J907">
        <f t="shared" si="176"/>
        <v>53.900000000000006</v>
      </c>
      <c r="K907" s="7" t="s">
        <v>2272</v>
      </c>
    </row>
    <row r="908" spans="1:11" ht="15.95" customHeight="1">
      <c r="A908" s="1"/>
      <c r="B908" t="s">
        <v>2008</v>
      </c>
      <c r="C908" t="s">
        <v>2010</v>
      </c>
      <c r="D908" s="3" t="s">
        <v>2273</v>
      </c>
      <c r="E908" s="7">
        <v>5</v>
      </c>
      <c r="F908">
        <f t="shared" si="178"/>
        <v>7</v>
      </c>
      <c r="G908">
        <f t="shared" si="177"/>
        <v>7.7000000000000011</v>
      </c>
      <c r="I908">
        <f t="shared" si="175"/>
        <v>0</v>
      </c>
      <c r="J908">
        <f t="shared" si="176"/>
        <v>0</v>
      </c>
      <c r="K908" s="7" t="s">
        <v>2274</v>
      </c>
    </row>
    <row r="909" spans="1:11" ht="15.95" customHeight="1">
      <c r="A909" s="1"/>
      <c r="B909" t="s">
        <v>2008</v>
      </c>
      <c r="C909" t="s">
        <v>2011</v>
      </c>
      <c r="D909" s="4" t="s">
        <v>2277</v>
      </c>
      <c r="E909" s="7">
        <v>20</v>
      </c>
      <c r="F909">
        <f t="shared" si="178"/>
        <v>28</v>
      </c>
      <c r="G909">
        <f t="shared" si="177"/>
        <v>30.800000000000004</v>
      </c>
      <c r="I909">
        <f t="shared" si="175"/>
        <v>0</v>
      </c>
      <c r="J909">
        <f t="shared" si="176"/>
        <v>0</v>
      </c>
      <c r="K909" s="7" t="s">
        <v>2275</v>
      </c>
    </row>
    <row r="910" spans="1:11" ht="15.95" customHeight="1">
      <c r="A910" s="1"/>
      <c r="B910" t="s">
        <v>2008</v>
      </c>
      <c r="C910" t="s">
        <v>2012</v>
      </c>
      <c r="D910" s="3" t="s">
        <v>2276</v>
      </c>
      <c r="E910" s="7">
        <v>20</v>
      </c>
      <c r="F910">
        <f t="shared" si="178"/>
        <v>28</v>
      </c>
      <c r="G910">
        <f t="shared" si="177"/>
        <v>30.800000000000004</v>
      </c>
      <c r="I910">
        <f t="shared" si="175"/>
        <v>0</v>
      </c>
      <c r="J910">
        <f t="shared" si="176"/>
        <v>0</v>
      </c>
      <c r="K910" s="7" t="s">
        <v>2275</v>
      </c>
    </row>
    <row r="911" spans="1:11" ht="15.95" customHeight="1">
      <c r="A911" s="1"/>
      <c r="B911" t="s">
        <v>2008</v>
      </c>
      <c r="C911" t="s">
        <v>2279</v>
      </c>
      <c r="D911" s="3" t="s">
        <v>2278</v>
      </c>
      <c r="E911" s="7">
        <v>20</v>
      </c>
      <c r="F911">
        <f t="shared" si="178"/>
        <v>28</v>
      </c>
      <c r="G911">
        <f t="shared" si="177"/>
        <v>30.800000000000004</v>
      </c>
      <c r="I911">
        <f t="shared" si="175"/>
        <v>0</v>
      </c>
      <c r="J911">
        <f t="shared" si="176"/>
        <v>0</v>
      </c>
      <c r="K911" s="7" t="s">
        <v>2275</v>
      </c>
    </row>
    <row r="912" spans="1:11" ht="15.95" customHeight="1">
      <c r="A912" s="1"/>
      <c r="B912" t="s">
        <v>2008</v>
      </c>
      <c r="C912" t="s">
        <v>2013</v>
      </c>
      <c r="E912" s="7">
        <v>20</v>
      </c>
      <c r="F912">
        <f t="shared" si="178"/>
        <v>28</v>
      </c>
      <c r="G912">
        <f t="shared" si="177"/>
        <v>30.800000000000004</v>
      </c>
      <c r="I912">
        <f t="shared" si="175"/>
        <v>0</v>
      </c>
      <c r="J912">
        <f t="shared" si="176"/>
        <v>0</v>
      </c>
      <c r="K912" s="7" t="s">
        <v>2275</v>
      </c>
    </row>
    <row r="913" spans="1:11" ht="15.95" customHeight="1">
      <c r="A913" s="1"/>
      <c r="B913" t="s">
        <v>2008</v>
      </c>
      <c r="C913" t="s">
        <v>2014</v>
      </c>
      <c r="E913" s="7">
        <v>20</v>
      </c>
      <c r="F913">
        <f t="shared" si="178"/>
        <v>28</v>
      </c>
      <c r="G913">
        <f t="shared" si="177"/>
        <v>30.800000000000004</v>
      </c>
      <c r="I913">
        <f t="shared" si="175"/>
        <v>0</v>
      </c>
      <c r="J913">
        <f t="shared" si="176"/>
        <v>0</v>
      </c>
      <c r="K913" s="7" t="s">
        <v>2275</v>
      </c>
    </row>
    <row r="914" spans="1:11" ht="15.95" customHeight="1">
      <c r="A914" s="1"/>
      <c r="B914" t="s">
        <v>2008</v>
      </c>
      <c r="C914" t="s">
        <v>2015</v>
      </c>
      <c r="E914" s="7">
        <v>20</v>
      </c>
      <c r="F914">
        <f t="shared" si="178"/>
        <v>28</v>
      </c>
      <c r="G914">
        <f t="shared" si="177"/>
        <v>30.800000000000004</v>
      </c>
      <c r="I914">
        <f t="shared" si="175"/>
        <v>0</v>
      </c>
      <c r="J914">
        <f t="shared" si="176"/>
        <v>0</v>
      </c>
      <c r="K914" s="7" t="s">
        <v>2275</v>
      </c>
    </row>
    <row r="915" spans="1:11" ht="15.95" customHeight="1">
      <c r="A915" s="1"/>
      <c r="B915" t="s">
        <v>2008</v>
      </c>
      <c r="C915" t="s">
        <v>2016</v>
      </c>
      <c r="E915" s="7">
        <v>20</v>
      </c>
      <c r="F915">
        <f t="shared" si="178"/>
        <v>28</v>
      </c>
      <c r="G915">
        <f t="shared" si="177"/>
        <v>30.800000000000004</v>
      </c>
      <c r="I915">
        <f t="shared" si="175"/>
        <v>0</v>
      </c>
      <c r="J915">
        <f t="shared" si="176"/>
        <v>0</v>
      </c>
      <c r="K915" s="7" t="s">
        <v>2275</v>
      </c>
    </row>
    <row r="916" spans="1:11" ht="15.95" customHeight="1">
      <c r="A916" s="1"/>
      <c r="B916" t="s">
        <v>2008</v>
      </c>
      <c r="C916" t="s">
        <v>2022</v>
      </c>
      <c r="E916" s="7">
        <v>20</v>
      </c>
      <c r="F916">
        <f t="shared" si="178"/>
        <v>28</v>
      </c>
      <c r="G916">
        <f t="shared" si="177"/>
        <v>30.800000000000004</v>
      </c>
      <c r="I916">
        <f t="shared" si="175"/>
        <v>0</v>
      </c>
      <c r="J916">
        <f t="shared" si="176"/>
        <v>0</v>
      </c>
      <c r="K916" s="7" t="s">
        <v>2275</v>
      </c>
    </row>
    <row r="917" spans="1:11" ht="15.95" customHeight="1">
      <c r="A917" s="1"/>
      <c r="B917" t="s">
        <v>2008</v>
      </c>
      <c r="C917" t="s">
        <v>2017</v>
      </c>
      <c r="D917" s="4" t="s">
        <v>2281</v>
      </c>
      <c r="E917" s="7">
        <v>20</v>
      </c>
      <c r="F917">
        <f t="shared" si="178"/>
        <v>28</v>
      </c>
      <c r="G917">
        <f t="shared" si="177"/>
        <v>30.800000000000004</v>
      </c>
      <c r="I917">
        <f t="shared" si="175"/>
        <v>0</v>
      </c>
      <c r="J917">
        <f t="shared" si="176"/>
        <v>0</v>
      </c>
      <c r="K917" s="7" t="s">
        <v>2275</v>
      </c>
    </row>
    <row r="918" spans="1:11" ht="15.95" customHeight="1">
      <c r="A918" s="1"/>
      <c r="B918" t="s">
        <v>2008</v>
      </c>
      <c r="C918" t="s">
        <v>2018</v>
      </c>
      <c r="D918" s="3" t="s">
        <v>2280</v>
      </c>
      <c r="E918" s="7">
        <v>25</v>
      </c>
      <c r="F918">
        <f t="shared" si="178"/>
        <v>35</v>
      </c>
      <c r="G918">
        <f t="shared" si="177"/>
        <v>38.5</v>
      </c>
      <c r="I918">
        <f t="shared" si="175"/>
        <v>0</v>
      </c>
      <c r="J918">
        <f t="shared" si="176"/>
        <v>0</v>
      </c>
      <c r="K918" s="7" t="s">
        <v>2275</v>
      </c>
    </row>
    <row r="919" spans="1:11" ht="15.95" customHeight="1">
      <c r="A919" s="1"/>
      <c r="B919" t="s">
        <v>2008</v>
      </c>
      <c r="C919" t="s">
        <v>2019</v>
      </c>
      <c r="E919" s="7">
        <v>20</v>
      </c>
      <c r="F919">
        <f t="shared" si="178"/>
        <v>28</v>
      </c>
      <c r="G919">
        <f t="shared" si="177"/>
        <v>30.800000000000004</v>
      </c>
      <c r="I919">
        <f t="shared" si="175"/>
        <v>0</v>
      </c>
      <c r="J919">
        <f t="shared" si="176"/>
        <v>0</v>
      </c>
      <c r="K919" s="7" t="s">
        <v>2275</v>
      </c>
    </row>
    <row r="920" spans="1:11" ht="15.95" customHeight="1">
      <c r="A920" s="1"/>
      <c r="B920" t="s">
        <v>2008</v>
      </c>
      <c r="C920" t="s">
        <v>2020</v>
      </c>
      <c r="E920" s="7">
        <v>20</v>
      </c>
      <c r="F920">
        <f t="shared" si="178"/>
        <v>28</v>
      </c>
      <c r="G920">
        <f t="shared" si="177"/>
        <v>30.800000000000004</v>
      </c>
      <c r="I920">
        <f t="shared" si="175"/>
        <v>0</v>
      </c>
      <c r="J920">
        <f t="shared" si="176"/>
        <v>0</v>
      </c>
      <c r="K920" s="7" t="s">
        <v>2275</v>
      </c>
    </row>
    <row r="921" spans="1:11" ht="15.95" customHeight="1">
      <c r="A921" s="1"/>
      <c r="B921" t="s">
        <v>2008</v>
      </c>
      <c r="C921" t="s">
        <v>2021</v>
      </c>
      <c r="D921" s="3" t="s">
        <v>2282</v>
      </c>
      <c r="E921" s="7">
        <v>20</v>
      </c>
      <c r="F921">
        <f t="shared" si="178"/>
        <v>28</v>
      </c>
      <c r="G921">
        <f t="shared" si="177"/>
        <v>30.800000000000004</v>
      </c>
      <c r="I921">
        <f t="shared" si="175"/>
        <v>0</v>
      </c>
      <c r="J921">
        <f t="shared" si="176"/>
        <v>0</v>
      </c>
      <c r="K921" s="7" t="s">
        <v>2275</v>
      </c>
    </row>
    <row r="922" spans="1:11" ht="15.95" customHeight="1">
      <c r="A922" s="1"/>
      <c r="B922" t="s">
        <v>2008</v>
      </c>
      <c r="C922" t="s">
        <v>2023</v>
      </c>
      <c r="D922" s="3" t="s">
        <v>2283</v>
      </c>
      <c r="E922" s="7">
        <v>22</v>
      </c>
      <c r="F922">
        <f t="shared" si="178"/>
        <v>30.799999999999997</v>
      </c>
      <c r="G922">
        <f t="shared" si="177"/>
        <v>33.880000000000003</v>
      </c>
      <c r="H922" s="7">
        <v>400</v>
      </c>
      <c r="I922">
        <f t="shared" si="175"/>
        <v>560</v>
      </c>
      <c r="J922">
        <f t="shared" si="176"/>
        <v>616</v>
      </c>
      <c r="K922" s="7" t="s">
        <v>2284</v>
      </c>
    </row>
    <row r="923" spans="1:11" ht="15.95" customHeight="1">
      <c r="A923" s="1"/>
      <c r="B923" t="s">
        <v>2008</v>
      </c>
      <c r="C923" t="s">
        <v>2024</v>
      </c>
      <c r="D923" s="3" t="s">
        <v>2285</v>
      </c>
      <c r="E923" s="7">
        <v>6</v>
      </c>
      <c r="F923">
        <f t="shared" si="178"/>
        <v>8.3999999999999986</v>
      </c>
      <c r="G923">
        <f t="shared" si="177"/>
        <v>9.2399999999999984</v>
      </c>
      <c r="I923">
        <f t="shared" si="175"/>
        <v>0</v>
      </c>
      <c r="J923">
        <f t="shared" si="176"/>
        <v>0</v>
      </c>
      <c r="K923" s="7" t="s">
        <v>2288</v>
      </c>
    </row>
    <row r="924" spans="1:11" ht="15.95" customHeight="1">
      <c r="A924" s="1"/>
      <c r="B924" t="s">
        <v>2008</v>
      </c>
      <c r="C924" t="s">
        <v>2025</v>
      </c>
      <c r="D924" s="3" t="s">
        <v>2286</v>
      </c>
      <c r="E924" s="7">
        <v>7</v>
      </c>
      <c r="F924">
        <f t="shared" si="178"/>
        <v>9.7999999999999989</v>
      </c>
      <c r="G924">
        <f t="shared" si="177"/>
        <v>10.78</v>
      </c>
      <c r="I924">
        <f t="shared" si="175"/>
        <v>0</v>
      </c>
      <c r="J924">
        <f t="shared" si="176"/>
        <v>0</v>
      </c>
      <c r="K924" s="7" t="s">
        <v>2288</v>
      </c>
    </row>
    <row r="925" spans="1:11" ht="15.95" customHeight="1">
      <c r="A925" s="1"/>
      <c r="B925" t="s">
        <v>2008</v>
      </c>
      <c r="C925" t="s">
        <v>2026</v>
      </c>
      <c r="D925" s="3" t="s">
        <v>2287</v>
      </c>
      <c r="E925" s="7">
        <v>12</v>
      </c>
      <c r="F925">
        <f t="shared" si="178"/>
        <v>16.799999999999997</v>
      </c>
      <c r="G925">
        <f t="shared" si="177"/>
        <v>18.479999999999997</v>
      </c>
      <c r="I925">
        <f t="shared" si="175"/>
        <v>0</v>
      </c>
      <c r="J925">
        <f t="shared" si="176"/>
        <v>0</v>
      </c>
      <c r="K925" s="7" t="s">
        <v>2288</v>
      </c>
    </row>
    <row r="926" spans="1:11" ht="15.95" customHeight="1">
      <c r="A926" s="1"/>
      <c r="B926" t="s">
        <v>2008</v>
      </c>
      <c r="C926" t="s">
        <v>2027</v>
      </c>
      <c r="E926" s="7">
        <v>89</v>
      </c>
      <c r="F926">
        <f t="shared" si="178"/>
        <v>124.6</v>
      </c>
      <c r="G926">
        <f t="shared" si="177"/>
        <v>137.06</v>
      </c>
      <c r="I926">
        <f t="shared" si="175"/>
        <v>0</v>
      </c>
      <c r="J926">
        <f t="shared" si="176"/>
        <v>0</v>
      </c>
      <c r="K926" s="7" t="s">
        <v>2289</v>
      </c>
    </row>
    <row r="927" spans="1:11" ht="15.95" customHeight="1">
      <c r="A927" s="1"/>
      <c r="B927" t="s">
        <v>2008</v>
      </c>
      <c r="C927" t="s">
        <v>2028</v>
      </c>
      <c r="E927" s="7">
        <v>8</v>
      </c>
      <c r="F927">
        <f t="shared" si="178"/>
        <v>11.2</v>
      </c>
      <c r="G927">
        <f t="shared" si="177"/>
        <v>12.32</v>
      </c>
      <c r="I927">
        <f t="shared" si="175"/>
        <v>0</v>
      </c>
      <c r="J927">
        <f t="shared" si="176"/>
        <v>0</v>
      </c>
      <c r="K927" s="7" t="s">
        <v>2290</v>
      </c>
    </row>
    <row r="928" spans="1:11" ht="15.95" customHeight="1">
      <c r="A928" s="1"/>
      <c r="B928" t="s">
        <v>2008</v>
      </c>
      <c r="C928" t="s">
        <v>2029</v>
      </c>
      <c r="E928" s="7">
        <v>10</v>
      </c>
      <c r="F928">
        <f t="shared" si="178"/>
        <v>14</v>
      </c>
      <c r="G928">
        <f t="shared" si="177"/>
        <v>15.400000000000002</v>
      </c>
      <c r="I928">
        <f t="shared" si="175"/>
        <v>0</v>
      </c>
      <c r="J928">
        <f t="shared" si="176"/>
        <v>0</v>
      </c>
      <c r="K928" s="7" t="s">
        <v>2290</v>
      </c>
    </row>
    <row r="929" spans="1:11" ht="15.95" customHeight="1">
      <c r="A929" s="1"/>
      <c r="B929" t="s">
        <v>2008</v>
      </c>
      <c r="C929" t="s">
        <v>2030</v>
      </c>
      <c r="D929" s="3" t="s">
        <v>2291</v>
      </c>
      <c r="E929" s="7">
        <v>1</v>
      </c>
      <c r="F929">
        <f t="shared" si="178"/>
        <v>1.4</v>
      </c>
      <c r="G929">
        <f t="shared" si="177"/>
        <v>1.54</v>
      </c>
      <c r="H929" s="7">
        <v>5</v>
      </c>
      <c r="I929">
        <f t="shared" si="175"/>
        <v>7</v>
      </c>
      <c r="J929">
        <f t="shared" si="176"/>
        <v>7.7000000000000011</v>
      </c>
      <c r="K929" s="7" t="s">
        <v>2292</v>
      </c>
    </row>
    <row r="930" spans="1:11" ht="15.95" customHeight="1">
      <c r="A930" s="1"/>
      <c r="B930" t="s">
        <v>2008</v>
      </c>
      <c r="C930" t="s">
        <v>2031</v>
      </c>
      <c r="D930" s="3" t="s">
        <v>2293</v>
      </c>
      <c r="E930" s="7">
        <v>1</v>
      </c>
      <c r="F930">
        <f t="shared" si="178"/>
        <v>1.4</v>
      </c>
      <c r="G930">
        <f t="shared" si="177"/>
        <v>1.54</v>
      </c>
      <c r="H930" s="7">
        <v>5</v>
      </c>
      <c r="I930">
        <f t="shared" si="175"/>
        <v>7</v>
      </c>
      <c r="J930">
        <f t="shared" si="176"/>
        <v>7.7000000000000011</v>
      </c>
      <c r="K930" s="7" t="s">
        <v>2294</v>
      </c>
    </row>
    <row r="931" spans="1:11" ht="15.95" customHeight="1">
      <c r="A931" s="1"/>
      <c r="B931" t="s">
        <v>2008</v>
      </c>
      <c r="C931" t="s">
        <v>2032</v>
      </c>
      <c r="D931" s="3" t="s">
        <v>2295</v>
      </c>
      <c r="E931" s="7">
        <v>2</v>
      </c>
      <c r="F931">
        <f t="shared" si="178"/>
        <v>2.8</v>
      </c>
      <c r="G931">
        <f t="shared" si="177"/>
        <v>3.08</v>
      </c>
      <c r="H931" s="7">
        <v>5</v>
      </c>
      <c r="I931">
        <f t="shared" si="175"/>
        <v>7</v>
      </c>
      <c r="J931">
        <f t="shared" si="176"/>
        <v>7.7000000000000011</v>
      </c>
      <c r="K931" s="7" t="s">
        <v>2296</v>
      </c>
    </row>
    <row r="932" spans="1:11" ht="15.95" customHeight="1">
      <c r="A932" s="1"/>
      <c r="B932" t="s">
        <v>2008</v>
      </c>
      <c r="C932" t="s">
        <v>2033</v>
      </c>
      <c r="D932" s="3" t="s">
        <v>2297</v>
      </c>
      <c r="E932" s="7">
        <v>29</v>
      </c>
      <c r="F932">
        <f t="shared" si="178"/>
        <v>40.599999999999994</v>
      </c>
      <c r="G932">
        <f t="shared" si="177"/>
        <v>44.66</v>
      </c>
      <c r="I932">
        <f t="shared" si="175"/>
        <v>0</v>
      </c>
      <c r="J932">
        <f t="shared" si="176"/>
        <v>0</v>
      </c>
      <c r="K932" s="7" t="s">
        <v>2290</v>
      </c>
    </row>
    <row r="933" spans="1:11" ht="15.95" customHeight="1">
      <c r="A933" s="1"/>
      <c r="B933" t="s">
        <v>2008</v>
      </c>
      <c r="C933" t="s">
        <v>274</v>
      </c>
      <c r="E933" s="7">
        <v>6</v>
      </c>
      <c r="F933">
        <f t="shared" si="178"/>
        <v>8.3999999999999986</v>
      </c>
      <c r="G933">
        <f t="shared" si="177"/>
        <v>9.2399999999999984</v>
      </c>
      <c r="H933" s="7">
        <v>70</v>
      </c>
      <c r="I933">
        <f t="shared" si="175"/>
        <v>98</v>
      </c>
      <c r="J933">
        <f t="shared" si="176"/>
        <v>107.80000000000001</v>
      </c>
      <c r="K933" s="7" t="s">
        <v>2298</v>
      </c>
    </row>
    <row r="934" spans="1:11" ht="15.95" customHeight="1">
      <c r="A934" s="1"/>
      <c r="B934" t="s">
        <v>2008</v>
      </c>
      <c r="C934" t="s">
        <v>2034</v>
      </c>
      <c r="D934" s="3" t="s">
        <v>2299</v>
      </c>
      <c r="E934" s="7">
        <v>6</v>
      </c>
      <c r="F934">
        <f t="shared" si="178"/>
        <v>8.3999999999999986</v>
      </c>
      <c r="G934">
        <f t="shared" si="177"/>
        <v>9.2399999999999984</v>
      </c>
      <c r="H934" s="7">
        <v>50</v>
      </c>
      <c r="I934">
        <f t="shared" si="175"/>
        <v>70</v>
      </c>
      <c r="J934">
        <f t="shared" si="176"/>
        <v>77</v>
      </c>
      <c r="K934" s="7" t="s">
        <v>2300</v>
      </c>
    </row>
    <row r="935" spans="1:11" ht="15.95" customHeight="1">
      <c r="A935" s="1"/>
      <c r="B935" t="s">
        <v>2008</v>
      </c>
      <c r="C935" t="s">
        <v>2035</v>
      </c>
      <c r="E935" s="7">
        <v>30</v>
      </c>
      <c r="F935">
        <f t="shared" si="178"/>
        <v>42</v>
      </c>
      <c r="G935">
        <f t="shared" si="177"/>
        <v>46.2</v>
      </c>
      <c r="I935">
        <f t="shared" si="175"/>
        <v>0</v>
      </c>
      <c r="J935">
        <f t="shared" si="176"/>
        <v>0</v>
      </c>
      <c r="K935" s="7" t="s">
        <v>2290</v>
      </c>
    </row>
    <row r="936" spans="1:11" ht="15.95" customHeight="1">
      <c r="A936" s="1"/>
      <c r="B936" t="s">
        <v>2008</v>
      </c>
      <c r="C936" t="s">
        <v>2036</v>
      </c>
      <c r="E936" s="7">
        <v>15</v>
      </c>
      <c r="F936">
        <f t="shared" si="178"/>
        <v>21</v>
      </c>
      <c r="G936">
        <f t="shared" si="177"/>
        <v>23.1</v>
      </c>
      <c r="I936">
        <f t="shared" si="175"/>
        <v>0</v>
      </c>
      <c r="J936">
        <f t="shared" si="176"/>
        <v>0</v>
      </c>
      <c r="K936" s="7" t="s">
        <v>2290</v>
      </c>
    </row>
    <row r="937" spans="1:11" ht="15.95" customHeight="1">
      <c r="A937" s="1"/>
      <c r="B937" t="s">
        <v>2008</v>
      </c>
      <c r="C937" t="s">
        <v>2037</v>
      </c>
      <c r="E937" s="7">
        <v>10</v>
      </c>
      <c r="F937">
        <f t="shared" si="178"/>
        <v>14</v>
      </c>
      <c r="G937">
        <f t="shared" si="177"/>
        <v>15.400000000000002</v>
      </c>
      <c r="I937">
        <f t="shared" si="175"/>
        <v>0</v>
      </c>
      <c r="J937">
        <f t="shared" si="176"/>
        <v>0</v>
      </c>
      <c r="K937" s="7" t="s">
        <v>2290</v>
      </c>
    </row>
    <row r="938" spans="1:11" ht="15.95" customHeight="1">
      <c r="A938" s="1"/>
      <c r="B938" t="s">
        <v>2008</v>
      </c>
      <c r="C938" t="s">
        <v>2038</v>
      </c>
      <c r="E938" s="7">
        <v>12</v>
      </c>
      <c r="F938">
        <f t="shared" si="178"/>
        <v>16.799999999999997</v>
      </c>
      <c r="G938">
        <f t="shared" si="177"/>
        <v>18.479999999999997</v>
      </c>
      <c r="I938">
        <f t="shared" si="175"/>
        <v>0</v>
      </c>
      <c r="J938">
        <f t="shared" si="176"/>
        <v>0</v>
      </c>
      <c r="K938" s="7" t="s">
        <v>2290</v>
      </c>
    </row>
    <row r="939" spans="1:11" ht="15.95" customHeight="1">
      <c r="A939" s="1"/>
      <c r="B939" t="s">
        <v>2008</v>
      </c>
      <c r="C939" t="s">
        <v>2039</v>
      </c>
      <c r="E939" s="7">
        <v>5</v>
      </c>
      <c r="F939">
        <f t="shared" si="178"/>
        <v>7</v>
      </c>
      <c r="G939">
        <f t="shared" si="177"/>
        <v>7.7000000000000011</v>
      </c>
      <c r="I939">
        <f t="shared" si="175"/>
        <v>0</v>
      </c>
      <c r="J939">
        <f t="shared" si="176"/>
        <v>0</v>
      </c>
      <c r="K939" s="7" t="s">
        <v>2290</v>
      </c>
    </row>
    <row r="940" spans="1:11" ht="15.95" customHeight="1">
      <c r="A940" s="1"/>
      <c r="B940" t="s">
        <v>2008</v>
      </c>
      <c r="C940" t="s">
        <v>2040</v>
      </c>
      <c r="D940" s="3" t="s">
        <v>2301</v>
      </c>
      <c r="E940" s="7">
        <v>15</v>
      </c>
      <c r="F940">
        <f t="shared" si="178"/>
        <v>21</v>
      </c>
      <c r="G940">
        <f t="shared" si="177"/>
        <v>23.1</v>
      </c>
      <c r="H940" s="7">
        <v>200</v>
      </c>
      <c r="I940">
        <f t="shared" si="175"/>
        <v>280</v>
      </c>
      <c r="J940">
        <f t="shared" si="176"/>
        <v>308</v>
      </c>
      <c r="K940" s="7" t="s">
        <v>2302</v>
      </c>
    </row>
    <row r="941" spans="1:11" ht="15.95" customHeight="1">
      <c r="A941" s="1"/>
      <c r="B941" t="s">
        <v>2008</v>
      </c>
      <c r="C941" t="s">
        <v>2041</v>
      </c>
      <c r="E941" s="7">
        <v>4</v>
      </c>
      <c r="F941">
        <f t="shared" si="178"/>
        <v>5.6</v>
      </c>
      <c r="G941">
        <f t="shared" si="177"/>
        <v>6.16</v>
      </c>
      <c r="I941">
        <f t="shared" si="175"/>
        <v>0</v>
      </c>
      <c r="J941">
        <f t="shared" si="176"/>
        <v>0</v>
      </c>
      <c r="K941" s="7" t="s">
        <v>2290</v>
      </c>
    </row>
    <row r="942" spans="1:11" ht="15.95" customHeight="1">
      <c r="A942" s="1"/>
      <c r="B942" t="s">
        <v>2008</v>
      </c>
      <c r="C942" t="s">
        <v>2042</v>
      </c>
      <c r="D942" s="3" t="s">
        <v>2303</v>
      </c>
      <c r="E942" s="7">
        <v>10</v>
      </c>
      <c r="F942">
        <f t="shared" si="178"/>
        <v>14</v>
      </c>
      <c r="G942">
        <f t="shared" si="177"/>
        <v>15.400000000000002</v>
      </c>
      <c r="H942" s="7">
        <v>300</v>
      </c>
      <c r="I942">
        <f t="shared" si="175"/>
        <v>420</v>
      </c>
      <c r="J942">
        <f t="shared" si="176"/>
        <v>462.00000000000006</v>
      </c>
      <c r="K942" s="7" t="s">
        <v>2304</v>
      </c>
    </row>
    <row r="943" spans="1:11" ht="15.95" customHeight="1">
      <c r="A943" s="1"/>
      <c r="B943" t="s">
        <v>2008</v>
      </c>
      <c r="C943" t="s">
        <v>2043</v>
      </c>
      <c r="D943" s="3" t="s">
        <v>2305</v>
      </c>
      <c r="E943" s="7">
        <v>10</v>
      </c>
      <c r="F943">
        <f t="shared" si="178"/>
        <v>14</v>
      </c>
      <c r="G943">
        <f t="shared" si="177"/>
        <v>15.400000000000002</v>
      </c>
      <c r="H943" s="7">
        <v>500</v>
      </c>
      <c r="I943">
        <f t="shared" si="175"/>
        <v>700</v>
      </c>
      <c r="J943">
        <f t="shared" si="176"/>
        <v>770.00000000000011</v>
      </c>
      <c r="K943" s="7" t="s">
        <v>2306</v>
      </c>
    </row>
    <row r="944" spans="1:11" ht="15.95" customHeight="1">
      <c r="A944" s="1"/>
      <c r="B944" t="s">
        <v>2008</v>
      </c>
      <c r="C944" t="s">
        <v>2046</v>
      </c>
      <c r="E944" s="7">
        <v>42</v>
      </c>
      <c r="F944">
        <f t="shared" si="178"/>
        <v>58.8</v>
      </c>
      <c r="G944">
        <f t="shared" si="177"/>
        <v>64.680000000000007</v>
      </c>
      <c r="H944" s="7">
        <v>500</v>
      </c>
      <c r="I944">
        <f t="shared" si="175"/>
        <v>700</v>
      </c>
      <c r="J944">
        <f t="shared" si="176"/>
        <v>770.00000000000011</v>
      </c>
      <c r="K944" s="7" t="s">
        <v>2307</v>
      </c>
    </row>
    <row r="945" spans="1:11" ht="15.95" customHeight="1">
      <c r="A945" s="1"/>
      <c r="B945" t="s">
        <v>2008</v>
      </c>
      <c r="C945" t="s">
        <v>2044</v>
      </c>
      <c r="D945" s="3" t="s">
        <v>2308</v>
      </c>
      <c r="E945" s="7">
        <v>5</v>
      </c>
      <c r="F945">
        <f t="shared" si="178"/>
        <v>7</v>
      </c>
      <c r="G945">
        <f t="shared" si="177"/>
        <v>7.7000000000000011</v>
      </c>
      <c r="H945" s="7">
        <v>70</v>
      </c>
      <c r="I945">
        <f t="shared" ref="I945:I1008" si="179">H945*1.4</f>
        <v>98</v>
      </c>
      <c r="J945">
        <f t="shared" ref="J945:J1008" si="180">I945*1.1</f>
        <v>107.80000000000001</v>
      </c>
      <c r="K945" s="7" t="s">
        <v>2309</v>
      </c>
    </row>
    <row r="946" spans="1:11" ht="15.95" customHeight="1">
      <c r="A946" s="1"/>
      <c r="B946" t="s">
        <v>2008</v>
      </c>
      <c r="C946" t="s">
        <v>2045</v>
      </c>
      <c r="E946" s="7">
        <v>30</v>
      </c>
      <c r="F946">
        <f t="shared" si="178"/>
        <v>42</v>
      </c>
      <c r="G946">
        <f t="shared" si="177"/>
        <v>46.2</v>
      </c>
      <c r="H946" s="7">
        <v>800</v>
      </c>
      <c r="I946">
        <f t="shared" si="179"/>
        <v>1120</v>
      </c>
      <c r="J946">
        <f t="shared" si="180"/>
        <v>1232</v>
      </c>
      <c r="K946" s="7" t="s">
        <v>2310</v>
      </c>
    </row>
    <row r="947" spans="1:11" ht="15.95" customHeight="1">
      <c r="A947" s="1"/>
      <c r="B947" t="s">
        <v>2008</v>
      </c>
      <c r="C947" t="s">
        <v>2047</v>
      </c>
      <c r="E947" s="7">
        <v>50</v>
      </c>
      <c r="F947">
        <f t="shared" si="178"/>
        <v>70</v>
      </c>
      <c r="G947">
        <f t="shared" si="177"/>
        <v>77</v>
      </c>
      <c r="H947" s="7">
        <v>800</v>
      </c>
      <c r="I947">
        <f t="shared" si="179"/>
        <v>1120</v>
      </c>
      <c r="J947">
        <f t="shared" si="180"/>
        <v>1232</v>
      </c>
      <c r="K947" s="7" t="s">
        <v>2311</v>
      </c>
    </row>
    <row r="948" spans="1:11" ht="15.95" customHeight="1">
      <c r="A948" s="1"/>
      <c r="B948" t="s">
        <v>2008</v>
      </c>
      <c r="C948" t="s">
        <v>2048</v>
      </c>
      <c r="E948" s="7">
        <v>50</v>
      </c>
      <c r="F948">
        <f t="shared" si="178"/>
        <v>70</v>
      </c>
      <c r="G948">
        <f t="shared" si="177"/>
        <v>77</v>
      </c>
      <c r="H948" s="7">
        <v>1500</v>
      </c>
      <c r="I948">
        <f t="shared" si="179"/>
        <v>2100</v>
      </c>
      <c r="J948">
        <f t="shared" si="180"/>
        <v>2310</v>
      </c>
      <c r="K948" s="7" t="s">
        <v>2312</v>
      </c>
    </row>
    <row r="949" spans="1:11" ht="15.95" customHeight="1">
      <c r="A949" s="1"/>
      <c r="B949" t="s">
        <v>2008</v>
      </c>
      <c r="C949" t="s">
        <v>2049</v>
      </c>
      <c r="E949" s="7">
        <v>25</v>
      </c>
      <c r="F949">
        <f t="shared" si="178"/>
        <v>35</v>
      </c>
      <c r="G949">
        <f t="shared" si="177"/>
        <v>38.5</v>
      </c>
      <c r="H949" s="7">
        <v>300</v>
      </c>
      <c r="I949">
        <f t="shared" si="179"/>
        <v>420</v>
      </c>
      <c r="J949">
        <f t="shared" si="180"/>
        <v>462.00000000000006</v>
      </c>
      <c r="K949" s="7" t="s">
        <v>2275</v>
      </c>
    </row>
    <row r="950" spans="1:11" ht="15.95" customHeight="1">
      <c r="A950" s="1"/>
      <c r="B950" t="s">
        <v>2008</v>
      </c>
      <c r="C950" t="s">
        <v>2050</v>
      </c>
      <c r="D950" s="3" t="s">
        <v>2313</v>
      </c>
      <c r="E950" s="7">
        <v>10</v>
      </c>
      <c r="F950">
        <f t="shared" si="178"/>
        <v>14</v>
      </c>
      <c r="G950">
        <f t="shared" si="177"/>
        <v>15.400000000000002</v>
      </c>
      <c r="H950" s="7">
        <v>100</v>
      </c>
      <c r="I950">
        <f t="shared" si="179"/>
        <v>140</v>
      </c>
      <c r="J950">
        <f t="shared" si="180"/>
        <v>154</v>
      </c>
      <c r="K950" s="7" t="s">
        <v>2314</v>
      </c>
    </row>
    <row r="951" spans="1:11" ht="15.95" customHeight="1">
      <c r="A951" s="1"/>
      <c r="B951" t="s">
        <v>2008</v>
      </c>
      <c r="C951" t="s">
        <v>2051</v>
      </c>
      <c r="D951" s="3" t="s">
        <v>2315</v>
      </c>
      <c r="E951" s="7">
        <v>10</v>
      </c>
      <c r="F951">
        <f t="shared" si="178"/>
        <v>14</v>
      </c>
      <c r="G951">
        <f t="shared" si="177"/>
        <v>15.400000000000002</v>
      </c>
      <c r="H951" s="7">
        <v>200</v>
      </c>
      <c r="I951">
        <f t="shared" si="179"/>
        <v>280</v>
      </c>
      <c r="J951">
        <f t="shared" si="180"/>
        <v>308</v>
      </c>
      <c r="K951" s="7" t="s">
        <v>2316</v>
      </c>
    </row>
    <row r="952" spans="1:11" ht="15.95" customHeight="1">
      <c r="A952" s="1"/>
      <c r="B952" t="s">
        <v>2008</v>
      </c>
      <c r="C952" t="s">
        <v>2052</v>
      </c>
      <c r="E952" s="7">
        <v>12</v>
      </c>
      <c r="F952">
        <f t="shared" si="178"/>
        <v>16.799999999999997</v>
      </c>
      <c r="G952">
        <f t="shared" si="177"/>
        <v>18.479999999999997</v>
      </c>
      <c r="I952">
        <f t="shared" si="179"/>
        <v>0</v>
      </c>
      <c r="J952">
        <f t="shared" si="180"/>
        <v>0</v>
      </c>
      <c r="K952" s="7" t="s">
        <v>2317</v>
      </c>
    </row>
    <row r="953" spans="1:11" ht="15.95" customHeight="1">
      <c r="A953" s="1"/>
      <c r="B953" t="s">
        <v>2008</v>
      </c>
      <c r="C953" t="s">
        <v>2053</v>
      </c>
      <c r="E953" s="7">
        <v>15</v>
      </c>
      <c r="F953">
        <f t="shared" si="178"/>
        <v>21</v>
      </c>
      <c r="G953">
        <f t="shared" si="177"/>
        <v>23.1</v>
      </c>
      <c r="H953" s="7">
        <v>300</v>
      </c>
      <c r="I953">
        <f t="shared" si="179"/>
        <v>420</v>
      </c>
      <c r="J953">
        <f t="shared" si="180"/>
        <v>462.00000000000006</v>
      </c>
      <c r="K953" s="7" t="s">
        <v>2318</v>
      </c>
    </row>
    <row r="954" spans="1:11" ht="15.95" customHeight="1">
      <c r="A954" s="1"/>
      <c r="B954" t="s">
        <v>2008</v>
      </c>
      <c r="C954" t="s">
        <v>2054</v>
      </c>
      <c r="E954" s="7">
        <v>5</v>
      </c>
      <c r="F954">
        <f t="shared" si="178"/>
        <v>7</v>
      </c>
      <c r="G954">
        <f t="shared" si="177"/>
        <v>7.7000000000000011</v>
      </c>
      <c r="H954" s="7">
        <v>400</v>
      </c>
      <c r="I954">
        <f t="shared" si="179"/>
        <v>560</v>
      </c>
      <c r="J954">
        <f t="shared" si="180"/>
        <v>616</v>
      </c>
      <c r="K954" s="7" t="s">
        <v>2319</v>
      </c>
    </row>
    <row r="955" spans="1:11" ht="15.95" customHeight="1">
      <c r="A955" s="1"/>
      <c r="B955" t="s">
        <v>2008</v>
      </c>
      <c r="C955" t="s">
        <v>2055</v>
      </c>
      <c r="E955" s="7">
        <v>10</v>
      </c>
      <c r="F955">
        <f t="shared" si="178"/>
        <v>14</v>
      </c>
      <c r="G955">
        <f t="shared" si="177"/>
        <v>15.400000000000002</v>
      </c>
      <c r="H955" s="7">
        <v>400</v>
      </c>
      <c r="I955">
        <f t="shared" si="179"/>
        <v>560</v>
      </c>
      <c r="J955">
        <f t="shared" si="180"/>
        <v>616</v>
      </c>
      <c r="K955" s="7" t="s">
        <v>2320</v>
      </c>
    </row>
    <row r="956" spans="1:11" ht="15.95" customHeight="1">
      <c r="A956" s="1"/>
      <c r="B956" t="s">
        <v>2008</v>
      </c>
      <c r="C956" t="s">
        <v>2056</v>
      </c>
      <c r="D956" s="4" t="s">
        <v>2321</v>
      </c>
      <c r="E956" s="7">
        <v>20</v>
      </c>
      <c r="F956">
        <f t="shared" si="178"/>
        <v>28</v>
      </c>
      <c r="G956">
        <f t="shared" si="177"/>
        <v>30.800000000000004</v>
      </c>
      <c r="H956" s="7">
        <v>500</v>
      </c>
      <c r="I956">
        <f t="shared" si="179"/>
        <v>700</v>
      </c>
      <c r="J956">
        <f t="shared" si="180"/>
        <v>770.00000000000011</v>
      </c>
      <c r="K956" s="7" t="s">
        <v>2322</v>
      </c>
    </row>
    <row r="957" spans="1:11" ht="15.95" customHeight="1">
      <c r="A957" s="1"/>
      <c r="B957" t="s">
        <v>2008</v>
      </c>
      <c r="C957" t="s">
        <v>2057</v>
      </c>
      <c r="E957" s="7">
        <v>30</v>
      </c>
      <c r="F957">
        <f t="shared" si="178"/>
        <v>42</v>
      </c>
      <c r="G957">
        <f t="shared" si="177"/>
        <v>46.2</v>
      </c>
      <c r="H957" s="7">
        <v>700</v>
      </c>
      <c r="I957">
        <f t="shared" si="179"/>
        <v>979.99999999999989</v>
      </c>
      <c r="J957">
        <f t="shared" si="180"/>
        <v>1078</v>
      </c>
      <c r="K957" s="7" t="s">
        <v>2323</v>
      </c>
    </row>
    <row r="958" spans="1:11" ht="15.95" customHeight="1">
      <c r="A958" s="1"/>
      <c r="B958" t="s">
        <v>2008</v>
      </c>
      <c r="C958" t="s">
        <v>996</v>
      </c>
      <c r="D958" s="3" t="s">
        <v>2324</v>
      </c>
      <c r="E958" s="7">
        <v>20</v>
      </c>
      <c r="F958">
        <f t="shared" si="178"/>
        <v>28</v>
      </c>
      <c r="G958">
        <f t="shared" si="177"/>
        <v>30.800000000000004</v>
      </c>
      <c r="H958" s="7">
        <v>500</v>
      </c>
      <c r="I958">
        <f t="shared" si="179"/>
        <v>700</v>
      </c>
      <c r="J958">
        <f t="shared" si="180"/>
        <v>770.00000000000011</v>
      </c>
      <c r="K958" s="7" t="s">
        <v>2325</v>
      </c>
    </row>
    <row r="959" spans="1:11" ht="15.95" customHeight="1">
      <c r="A959" s="1"/>
      <c r="B959" t="s">
        <v>2008</v>
      </c>
      <c r="C959" t="s">
        <v>2058</v>
      </c>
      <c r="D959" s="3" t="s">
        <v>2326</v>
      </c>
      <c r="E959" s="7">
        <v>18</v>
      </c>
      <c r="F959">
        <f t="shared" si="178"/>
        <v>25.2</v>
      </c>
      <c r="G959">
        <f t="shared" si="177"/>
        <v>27.720000000000002</v>
      </c>
      <c r="H959" s="7">
        <v>500</v>
      </c>
      <c r="I959">
        <f t="shared" si="179"/>
        <v>700</v>
      </c>
      <c r="J959">
        <f t="shared" si="180"/>
        <v>770.00000000000011</v>
      </c>
      <c r="K959" s="7" t="s">
        <v>2327</v>
      </c>
    </row>
    <row r="960" spans="1:11" ht="15.95" customHeight="1">
      <c r="A960" s="1"/>
      <c r="B960" t="s">
        <v>2008</v>
      </c>
      <c r="C960" t="s">
        <v>2059</v>
      </c>
      <c r="E960" s="7">
        <v>10</v>
      </c>
      <c r="F960">
        <f t="shared" si="178"/>
        <v>14</v>
      </c>
      <c r="G960">
        <f t="shared" si="177"/>
        <v>15.400000000000002</v>
      </c>
      <c r="H960" s="7">
        <v>100</v>
      </c>
      <c r="I960">
        <f t="shared" si="179"/>
        <v>140</v>
      </c>
      <c r="J960">
        <f t="shared" si="180"/>
        <v>154</v>
      </c>
      <c r="K960" s="7" t="s">
        <v>2328</v>
      </c>
    </row>
    <row r="961" spans="1:11" ht="15.95" customHeight="1">
      <c r="A961" s="1"/>
      <c r="B961" t="s">
        <v>2008</v>
      </c>
      <c r="C961" t="s">
        <v>2060</v>
      </c>
      <c r="D961" s="4" t="s">
        <v>2329</v>
      </c>
      <c r="E961" s="7">
        <v>10</v>
      </c>
      <c r="F961">
        <f t="shared" si="178"/>
        <v>14</v>
      </c>
      <c r="G961">
        <f t="shared" si="177"/>
        <v>15.400000000000002</v>
      </c>
      <c r="H961" s="7">
        <v>120</v>
      </c>
      <c r="I961">
        <f t="shared" si="179"/>
        <v>168</v>
      </c>
      <c r="J961">
        <f t="shared" si="180"/>
        <v>184.8</v>
      </c>
      <c r="K961" s="7" t="s">
        <v>2330</v>
      </c>
    </row>
    <row r="962" spans="1:11" ht="15.95" customHeight="1">
      <c r="A962" s="1"/>
      <c r="B962" t="s">
        <v>2008</v>
      </c>
      <c r="C962" t="s">
        <v>2061</v>
      </c>
      <c r="E962" s="7">
        <v>10</v>
      </c>
      <c r="F962">
        <f t="shared" si="178"/>
        <v>14</v>
      </c>
      <c r="G962">
        <f t="shared" si="177"/>
        <v>15.400000000000002</v>
      </c>
      <c r="H962" s="7">
        <v>100</v>
      </c>
      <c r="I962">
        <f t="shared" si="179"/>
        <v>140</v>
      </c>
      <c r="J962">
        <f t="shared" si="180"/>
        <v>154</v>
      </c>
      <c r="K962" s="7" t="s">
        <v>2331</v>
      </c>
    </row>
    <row r="963" spans="1:11" ht="15.95" customHeight="1">
      <c r="A963" s="1"/>
      <c r="B963" t="s">
        <v>2008</v>
      </c>
      <c r="C963" t="s">
        <v>289</v>
      </c>
      <c r="E963" s="7">
        <v>5</v>
      </c>
      <c r="F963">
        <f t="shared" si="178"/>
        <v>7</v>
      </c>
      <c r="G963">
        <f t="shared" si="177"/>
        <v>7.7000000000000011</v>
      </c>
      <c r="H963" s="7">
        <v>50</v>
      </c>
      <c r="I963">
        <f t="shared" si="179"/>
        <v>70</v>
      </c>
      <c r="J963">
        <f t="shared" si="180"/>
        <v>77</v>
      </c>
      <c r="K963" s="7" t="s">
        <v>2332</v>
      </c>
    </row>
    <row r="964" spans="1:11" ht="15.95" customHeight="1">
      <c r="A964" s="1"/>
      <c r="B964" t="s">
        <v>2008</v>
      </c>
      <c r="C964" t="s">
        <v>2062</v>
      </c>
      <c r="D964" s="4" t="s">
        <v>1290</v>
      </c>
      <c r="E964" s="7">
        <v>5</v>
      </c>
      <c r="F964">
        <f t="shared" si="178"/>
        <v>7</v>
      </c>
      <c r="G964">
        <f t="shared" si="177"/>
        <v>7.7000000000000011</v>
      </c>
      <c r="H964" s="7">
        <v>50</v>
      </c>
      <c r="I964">
        <f t="shared" si="179"/>
        <v>70</v>
      </c>
      <c r="J964">
        <f t="shared" si="180"/>
        <v>77</v>
      </c>
      <c r="K964" s="7" t="s">
        <v>2333</v>
      </c>
    </row>
    <row r="965" spans="1:11" ht="15.95" customHeight="1">
      <c r="A965" s="1"/>
      <c r="B965" t="s">
        <v>2008</v>
      </c>
      <c r="C965" t="s">
        <v>2063</v>
      </c>
      <c r="D965" s="3" t="s">
        <v>2334</v>
      </c>
      <c r="E965" s="7">
        <v>15</v>
      </c>
      <c r="F965">
        <f t="shared" si="178"/>
        <v>21</v>
      </c>
      <c r="G965">
        <f t="shared" si="177"/>
        <v>23.1</v>
      </c>
      <c r="H965" s="7">
        <v>500</v>
      </c>
      <c r="I965">
        <f t="shared" si="179"/>
        <v>700</v>
      </c>
      <c r="J965">
        <f t="shared" si="180"/>
        <v>770.00000000000011</v>
      </c>
      <c r="K965" s="7" t="s">
        <v>2335</v>
      </c>
    </row>
    <row r="966" spans="1:11" ht="15.95" customHeight="1">
      <c r="A966" s="1"/>
      <c r="B966" t="s">
        <v>2008</v>
      </c>
      <c r="C966" t="s">
        <v>2064</v>
      </c>
      <c r="E966" s="7">
        <v>25</v>
      </c>
      <c r="F966">
        <f t="shared" si="178"/>
        <v>35</v>
      </c>
      <c r="G966">
        <f t="shared" si="177"/>
        <v>38.5</v>
      </c>
      <c r="H966" s="7">
        <v>1000</v>
      </c>
      <c r="I966">
        <f t="shared" si="179"/>
        <v>1400</v>
      </c>
      <c r="J966">
        <f t="shared" si="180"/>
        <v>1540.0000000000002</v>
      </c>
      <c r="K966" s="7" t="s">
        <v>2275</v>
      </c>
    </row>
    <row r="967" spans="1:11" ht="15.95" customHeight="1">
      <c r="A967" s="1"/>
      <c r="B967" t="s">
        <v>2008</v>
      </c>
      <c r="C967" t="s">
        <v>2065</v>
      </c>
      <c r="E967" s="7">
        <v>15</v>
      </c>
      <c r="F967">
        <f t="shared" si="178"/>
        <v>21</v>
      </c>
      <c r="G967">
        <f t="shared" si="177"/>
        <v>23.1</v>
      </c>
      <c r="H967" s="7">
        <v>500</v>
      </c>
      <c r="I967">
        <f t="shared" si="179"/>
        <v>700</v>
      </c>
      <c r="J967">
        <f t="shared" si="180"/>
        <v>770.00000000000011</v>
      </c>
      <c r="K967" s="7" t="s">
        <v>2336</v>
      </c>
    </row>
    <row r="968" spans="1:11" ht="15.95" customHeight="1">
      <c r="A968" s="1"/>
      <c r="B968" t="s">
        <v>2008</v>
      </c>
      <c r="C968" t="s">
        <v>1516</v>
      </c>
      <c r="D968" s="3" t="s">
        <v>2339</v>
      </c>
      <c r="E968" s="7">
        <v>10</v>
      </c>
      <c r="F968">
        <f t="shared" si="178"/>
        <v>14</v>
      </c>
      <c r="G968">
        <f t="shared" si="177"/>
        <v>15.400000000000002</v>
      </c>
      <c r="H968" s="7">
        <v>350</v>
      </c>
      <c r="I968">
        <f t="shared" si="179"/>
        <v>489.99999999999994</v>
      </c>
      <c r="J968">
        <f t="shared" si="180"/>
        <v>539</v>
      </c>
      <c r="K968" s="7" t="s">
        <v>2340</v>
      </c>
    </row>
    <row r="969" spans="1:11" ht="15.95" customHeight="1">
      <c r="A969" s="1"/>
      <c r="B969" t="s">
        <v>2008</v>
      </c>
      <c r="C969" t="s">
        <v>2066</v>
      </c>
      <c r="D969" s="3" t="s">
        <v>2337</v>
      </c>
      <c r="E969" s="7">
        <v>15</v>
      </c>
      <c r="F969">
        <f t="shared" si="178"/>
        <v>21</v>
      </c>
      <c r="G969">
        <f t="shared" si="177"/>
        <v>23.1</v>
      </c>
      <c r="H969" s="7">
        <v>50</v>
      </c>
      <c r="I969">
        <f t="shared" si="179"/>
        <v>70</v>
      </c>
      <c r="J969">
        <f t="shared" si="180"/>
        <v>77</v>
      </c>
      <c r="K969" s="7" t="s">
        <v>2338</v>
      </c>
    </row>
    <row r="970" spans="1:11" ht="15.95" customHeight="1">
      <c r="A970" s="1"/>
      <c r="B970" t="s">
        <v>2008</v>
      </c>
      <c r="C970" t="s">
        <v>2067</v>
      </c>
      <c r="E970" s="7">
        <v>30</v>
      </c>
      <c r="F970">
        <f t="shared" si="178"/>
        <v>42</v>
      </c>
      <c r="G970">
        <f t="shared" si="177"/>
        <v>46.2</v>
      </c>
      <c r="H970" s="7">
        <v>300</v>
      </c>
      <c r="I970">
        <f t="shared" si="179"/>
        <v>420</v>
      </c>
      <c r="J970">
        <f t="shared" si="180"/>
        <v>462.00000000000006</v>
      </c>
      <c r="K970" s="7" t="s">
        <v>2290</v>
      </c>
    </row>
    <row r="971" spans="1:11" ht="15.95" customHeight="1">
      <c r="A971" s="1"/>
      <c r="B971" t="s">
        <v>2008</v>
      </c>
      <c r="C971" t="s">
        <v>2068</v>
      </c>
      <c r="E971" s="7">
        <v>50</v>
      </c>
      <c r="F971">
        <f t="shared" si="178"/>
        <v>70</v>
      </c>
      <c r="G971">
        <f t="shared" si="177"/>
        <v>77</v>
      </c>
      <c r="H971" s="7">
        <v>500</v>
      </c>
      <c r="I971">
        <f t="shared" si="179"/>
        <v>700</v>
      </c>
      <c r="J971">
        <f t="shared" si="180"/>
        <v>770.00000000000011</v>
      </c>
      <c r="K971" s="7" t="s">
        <v>2290</v>
      </c>
    </row>
    <row r="972" spans="1:11" ht="15.95" customHeight="1">
      <c r="A972" s="1"/>
      <c r="B972" t="s">
        <v>2008</v>
      </c>
      <c r="C972" t="s">
        <v>2069</v>
      </c>
      <c r="E972" s="7">
        <v>40</v>
      </c>
      <c r="F972">
        <f t="shared" si="178"/>
        <v>56</v>
      </c>
      <c r="G972">
        <f t="shared" si="177"/>
        <v>61.600000000000009</v>
      </c>
      <c r="H972" s="7">
        <v>500</v>
      </c>
      <c r="I972">
        <f t="shared" si="179"/>
        <v>700</v>
      </c>
      <c r="J972">
        <f t="shared" si="180"/>
        <v>770.00000000000011</v>
      </c>
      <c r="K972" s="7" t="s">
        <v>2290</v>
      </c>
    </row>
    <row r="973" spans="1:11" ht="15.95" customHeight="1">
      <c r="A973" s="1"/>
      <c r="B973" t="s">
        <v>2008</v>
      </c>
      <c r="C973" t="s">
        <v>1291</v>
      </c>
      <c r="E973" s="7">
        <v>40</v>
      </c>
      <c r="F973">
        <f t="shared" si="178"/>
        <v>56</v>
      </c>
      <c r="G973">
        <f t="shared" si="177"/>
        <v>61.600000000000009</v>
      </c>
      <c r="H973" s="7">
        <v>500</v>
      </c>
      <c r="I973">
        <f t="shared" si="179"/>
        <v>700</v>
      </c>
      <c r="J973">
        <f t="shared" si="180"/>
        <v>770.00000000000011</v>
      </c>
      <c r="K973" s="7" t="s">
        <v>2290</v>
      </c>
    </row>
    <row r="974" spans="1:11" ht="15.95" customHeight="1">
      <c r="A974" s="1"/>
      <c r="B974" t="s">
        <v>2008</v>
      </c>
      <c r="C974" t="s">
        <v>2070</v>
      </c>
      <c r="E974" s="7">
        <v>80</v>
      </c>
      <c r="F974">
        <f t="shared" si="178"/>
        <v>112</v>
      </c>
      <c r="G974">
        <f t="shared" si="177"/>
        <v>123.20000000000002</v>
      </c>
      <c r="H974" s="7">
        <v>800</v>
      </c>
      <c r="I974">
        <f t="shared" si="179"/>
        <v>1120</v>
      </c>
      <c r="J974">
        <f t="shared" si="180"/>
        <v>1232</v>
      </c>
      <c r="K974" s="7" t="s">
        <v>2341</v>
      </c>
    </row>
    <row r="975" spans="1:11" ht="15.95" customHeight="1">
      <c r="A975" s="1"/>
      <c r="B975" t="s">
        <v>2008</v>
      </c>
      <c r="C975" t="s">
        <v>200</v>
      </c>
      <c r="E975" s="7">
        <v>12</v>
      </c>
      <c r="F975">
        <f t="shared" si="178"/>
        <v>16.799999999999997</v>
      </c>
      <c r="G975">
        <f t="shared" si="177"/>
        <v>18.479999999999997</v>
      </c>
      <c r="H975" s="7">
        <v>500</v>
      </c>
      <c r="I975">
        <f t="shared" si="179"/>
        <v>700</v>
      </c>
      <c r="J975">
        <f t="shared" si="180"/>
        <v>770.00000000000011</v>
      </c>
      <c r="K975" s="7" t="s">
        <v>2275</v>
      </c>
    </row>
    <row r="976" spans="1:11" ht="15.95" customHeight="1">
      <c r="A976" s="1"/>
      <c r="B976" t="s">
        <v>2008</v>
      </c>
      <c r="C976" t="s">
        <v>2071</v>
      </c>
      <c r="E976" s="7">
        <v>12</v>
      </c>
      <c r="F976">
        <f t="shared" si="178"/>
        <v>16.799999999999997</v>
      </c>
      <c r="G976">
        <f t="shared" si="177"/>
        <v>18.479999999999997</v>
      </c>
      <c r="I976">
        <f t="shared" si="179"/>
        <v>0</v>
      </c>
      <c r="J976">
        <f t="shared" si="180"/>
        <v>0</v>
      </c>
      <c r="K976" s="7" t="s">
        <v>2290</v>
      </c>
    </row>
    <row r="977" spans="1:11" ht="15.95" customHeight="1">
      <c r="A977" s="1"/>
      <c r="B977" t="s">
        <v>2008</v>
      </c>
      <c r="C977" t="s">
        <v>2072</v>
      </c>
      <c r="D977" s="3" t="s">
        <v>2342</v>
      </c>
      <c r="E977" s="7">
        <v>25</v>
      </c>
      <c r="F977">
        <f t="shared" si="178"/>
        <v>35</v>
      </c>
      <c r="G977">
        <f t="shared" si="177"/>
        <v>38.5</v>
      </c>
      <c r="H977" s="7">
        <v>500</v>
      </c>
      <c r="I977">
        <f t="shared" si="179"/>
        <v>700</v>
      </c>
      <c r="J977">
        <f t="shared" si="180"/>
        <v>770.00000000000011</v>
      </c>
      <c r="K977" s="7" t="s">
        <v>2275</v>
      </c>
    </row>
    <row r="978" spans="1:11" ht="15.95" customHeight="1">
      <c r="A978" s="1"/>
      <c r="B978" t="s">
        <v>2008</v>
      </c>
      <c r="C978" t="s">
        <v>2073</v>
      </c>
      <c r="D978" s="3" t="s">
        <v>2343</v>
      </c>
      <c r="E978" s="7">
        <v>10</v>
      </c>
      <c r="F978">
        <f t="shared" si="178"/>
        <v>14</v>
      </c>
      <c r="G978">
        <f t="shared" si="177"/>
        <v>15.400000000000002</v>
      </c>
      <c r="H978" s="7">
        <v>100</v>
      </c>
      <c r="I978">
        <f t="shared" si="179"/>
        <v>140</v>
      </c>
      <c r="J978">
        <f t="shared" si="180"/>
        <v>154</v>
      </c>
      <c r="K978" s="7" t="s">
        <v>2290</v>
      </c>
    </row>
    <row r="979" spans="1:11" ht="15.95" customHeight="1">
      <c r="A979" s="1"/>
      <c r="B979" t="s">
        <v>2008</v>
      </c>
      <c r="C979" t="s">
        <v>1759</v>
      </c>
      <c r="D979" s="3" t="s">
        <v>2344</v>
      </c>
      <c r="E979" s="7">
        <v>5</v>
      </c>
      <c r="F979">
        <f t="shared" si="178"/>
        <v>7</v>
      </c>
      <c r="G979">
        <f t="shared" si="177"/>
        <v>7.7000000000000011</v>
      </c>
      <c r="H979" s="7">
        <v>60</v>
      </c>
      <c r="I979">
        <f t="shared" si="179"/>
        <v>84</v>
      </c>
      <c r="J979">
        <f t="shared" si="180"/>
        <v>92.4</v>
      </c>
      <c r="K979" s="7" t="s">
        <v>2345</v>
      </c>
    </row>
    <row r="980" spans="1:11" ht="15.95" customHeight="1">
      <c r="A980" s="1"/>
      <c r="B980" t="s">
        <v>2008</v>
      </c>
      <c r="C980" t="s">
        <v>2074</v>
      </c>
      <c r="E980" s="7">
        <v>10</v>
      </c>
      <c r="F980">
        <f t="shared" si="178"/>
        <v>14</v>
      </c>
      <c r="G980">
        <f t="shared" si="177"/>
        <v>15.400000000000002</v>
      </c>
      <c r="H980" s="7">
        <v>250</v>
      </c>
      <c r="I980">
        <f t="shared" si="179"/>
        <v>350</v>
      </c>
      <c r="J980">
        <f t="shared" si="180"/>
        <v>385.00000000000006</v>
      </c>
      <c r="K980" s="7" t="s">
        <v>2346</v>
      </c>
    </row>
    <row r="981" spans="1:11" ht="15.95" customHeight="1">
      <c r="A981" s="1"/>
      <c r="B981" t="s">
        <v>2008</v>
      </c>
      <c r="C981" t="s">
        <v>2075</v>
      </c>
      <c r="E981" s="7">
        <v>10</v>
      </c>
      <c r="F981">
        <f t="shared" si="178"/>
        <v>14</v>
      </c>
      <c r="G981">
        <f t="shared" si="177"/>
        <v>15.400000000000002</v>
      </c>
      <c r="H981" s="7">
        <v>250</v>
      </c>
      <c r="I981">
        <f t="shared" si="179"/>
        <v>350</v>
      </c>
      <c r="J981">
        <f t="shared" si="180"/>
        <v>385.00000000000006</v>
      </c>
      <c r="K981" s="7" t="s">
        <v>2347</v>
      </c>
    </row>
    <row r="982" spans="1:11" ht="15.95" customHeight="1">
      <c r="A982" s="1"/>
      <c r="B982" t="s">
        <v>2008</v>
      </c>
      <c r="C982" t="s">
        <v>2076</v>
      </c>
      <c r="E982" s="7">
        <v>10</v>
      </c>
      <c r="F982">
        <f t="shared" si="178"/>
        <v>14</v>
      </c>
      <c r="G982">
        <f t="shared" si="177"/>
        <v>15.400000000000002</v>
      </c>
      <c r="H982" s="7">
        <v>250</v>
      </c>
      <c r="I982">
        <f t="shared" si="179"/>
        <v>350</v>
      </c>
      <c r="J982">
        <f t="shared" si="180"/>
        <v>385.00000000000006</v>
      </c>
      <c r="K982" s="7" t="s">
        <v>2348</v>
      </c>
    </row>
    <row r="983" spans="1:11" ht="15.95" customHeight="1">
      <c r="A983" s="1"/>
      <c r="B983" t="s">
        <v>2008</v>
      </c>
      <c r="C983" t="s">
        <v>2077</v>
      </c>
      <c r="E983" s="7">
        <v>15</v>
      </c>
      <c r="F983">
        <f t="shared" si="178"/>
        <v>21</v>
      </c>
      <c r="G983">
        <f t="shared" si="177"/>
        <v>23.1</v>
      </c>
      <c r="H983" s="7">
        <v>600</v>
      </c>
      <c r="I983">
        <f t="shared" si="179"/>
        <v>840</v>
      </c>
      <c r="J983">
        <f t="shared" si="180"/>
        <v>924.00000000000011</v>
      </c>
      <c r="K983" s="7" t="s">
        <v>2349</v>
      </c>
    </row>
    <row r="984" spans="1:11" ht="15.95" customHeight="1">
      <c r="A984" s="1"/>
      <c r="F984">
        <f t="shared" si="178"/>
        <v>0</v>
      </c>
      <c r="G984">
        <f t="shared" si="177"/>
        <v>0</v>
      </c>
      <c r="I984">
        <f t="shared" si="179"/>
        <v>0</v>
      </c>
      <c r="J984">
        <f t="shared" si="180"/>
        <v>0</v>
      </c>
    </row>
    <row r="985" spans="1:11">
      <c r="B985" t="s">
        <v>1876</v>
      </c>
      <c r="C985" t="s">
        <v>1874</v>
      </c>
      <c r="E985" s="7">
        <v>94</v>
      </c>
      <c r="F985">
        <f t="shared" si="178"/>
        <v>131.6</v>
      </c>
      <c r="G985">
        <f t="shared" si="177"/>
        <v>144.76000000000002</v>
      </c>
      <c r="H985" s="7">
        <v>1050</v>
      </c>
      <c r="I985">
        <f t="shared" si="179"/>
        <v>1470</v>
      </c>
      <c r="J985">
        <f t="shared" si="180"/>
        <v>1617.0000000000002</v>
      </c>
      <c r="K985" s="7" t="s">
        <v>2350</v>
      </c>
    </row>
    <row r="986" spans="1:11">
      <c r="B986" t="s">
        <v>1876</v>
      </c>
      <c r="C986" t="s">
        <v>1875</v>
      </c>
      <c r="D986" s="3" t="s">
        <v>2351</v>
      </c>
      <c r="E986" s="7">
        <v>70</v>
      </c>
      <c r="F986">
        <f t="shared" si="178"/>
        <v>98</v>
      </c>
      <c r="G986">
        <f t="shared" si="177"/>
        <v>107.80000000000001</v>
      </c>
      <c r="H986" s="7">
        <v>500</v>
      </c>
      <c r="I986">
        <f t="shared" si="179"/>
        <v>700</v>
      </c>
      <c r="J986">
        <f t="shared" si="180"/>
        <v>770.00000000000011</v>
      </c>
      <c r="K986" s="7" t="s">
        <v>2352</v>
      </c>
    </row>
    <row r="987" spans="1:11">
      <c r="F987">
        <f t="shared" si="178"/>
        <v>0</v>
      </c>
      <c r="G987">
        <f t="shared" si="177"/>
        <v>0</v>
      </c>
      <c r="I987">
        <f t="shared" si="179"/>
        <v>0</v>
      </c>
      <c r="J987">
        <f t="shared" si="180"/>
        <v>0</v>
      </c>
    </row>
    <row r="988" spans="1:11">
      <c r="B988" t="s">
        <v>1878</v>
      </c>
      <c r="C988" t="s">
        <v>1879</v>
      </c>
      <c r="E988" s="7">
        <v>30</v>
      </c>
      <c r="F988">
        <f t="shared" si="178"/>
        <v>42</v>
      </c>
      <c r="G988">
        <f t="shared" si="177"/>
        <v>46.2</v>
      </c>
      <c r="H988" s="7">
        <v>385</v>
      </c>
      <c r="I988">
        <f t="shared" si="179"/>
        <v>539</v>
      </c>
      <c r="J988">
        <f t="shared" si="180"/>
        <v>592.90000000000009</v>
      </c>
      <c r="K988" s="7" t="s">
        <v>2353</v>
      </c>
    </row>
    <row r="989" spans="1:11">
      <c r="F989">
        <f t="shared" si="178"/>
        <v>0</v>
      </c>
      <c r="G989">
        <f t="shared" si="177"/>
        <v>0</v>
      </c>
      <c r="I989">
        <f t="shared" si="179"/>
        <v>0</v>
      </c>
      <c r="J989">
        <f t="shared" si="180"/>
        <v>0</v>
      </c>
    </row>
    <row r="990" spans="1:11">
      <c r="B990" t="s">
        <v>1884</v>
      </c>
      <c r="C990" t="s">
        <v>1880</v>
      </c>
      <c r="E990" s="7">
        <v>15</v>
      </c>
      <c r="F990">
        <f t="shared" si="178"/>
        <v>21</v>
      </c>
      <c r="G990">
        <f t="shared" si="177"/>
        <v>23.1</v>
      </c>
      <c r="H990" s="7">
        <v>900</v>
      </c>
      <c r="I990">
        <f t="shared" si="179"/>
        <v>1260</v>
      </c>
      <c r="J990">
        <f t="shared" si="180"/>
        <v>1386</v>
      </c>
      <c r="K990" s="7" t="s">
        <v>2354</v>
      </c>
    </row>
    <row r="991" spans="1:11">
      <c r="B991" t="s">
        <v>1884</v>
      </c>
      <c r="C991" t="s">
        <v>1881</v>
      </c>
      <c r="E991" s="7">
        <v>12</v>
      </c>
      <c r="F991">
        <f t="shared" si="178"/>
        <v>16.799999999999997</v>
      </c>
      <c r="G991">
        <f t="shared" si="177"/>
        <v>18.479999999999997</v>
      </c>
      <c r="H991" s="7">
        <v>800</v>
      </c>
      <c r="I991">
        <f t="shared" si="179"/>
        <v>1120</v>
      </c>
      <c r="J991">
        <f t="shared" si="180"/>
        <v>1232</v>
      </c>
      <c r="K991" s="7" t="s">
        <v>2355</v>
      </c>
    </row>
    <row r="992" spans="1:11">
      <c r="B992" t="s">
        <v>1884</v>
      </c>
      <c r="C992" t="s">
        <v>1882</v>
      </c>
      <c r="E992" s="7">
        <v>12</v>
      </c>
      <c r="F992">
        <f t="shared" ref="F992:F1055" si="181">E992*1.4</f>
        <v>16.799999999999997</v>
      </c>
      <c r="G992">
        <f t="shared" si="177"/>
        <v>18.479999999999997</v>
      </c>
      <c r="H992" s="7">
        <v>800</v>
      </c>
      <c r="I992">
        <f t="shared" si="179"/>
        <v>1120</v>
      </c>
      <c r="J992">
        <f t="shared" si="180"/>
        <v>1232</v>
      </c>
      <c r="K992" s="7" t="s">
        <v>2356</v>
      </c>
    </row>
    <row r="993" spans="1:11">
      <c r="B993" t="s">
        <v>1884</v>
      </c>
      <c r="C993" t="s">
        <v>1883</v>
      </c>
      <c r="F993">
        <f t="shared" si="181"/>
        <v>0</v>
      </c>
      <c r="G993">
        <f t="shared" si="177"/>
        <v>0</v>
      </c>
      <c r="H993" s="7">
        <v>2600</v>
      </c>
      <c r="I993">
        <f t="shared" si="179"/>
        <v>3639.9999999999995</v>
      </c>
      <c r="J993">
        <f t="shared" si="180"/>
        <v>4004</v>
      </c>
      <c r="K993" s="7" t="s">
        <v>2356</v>
      </c>
    </row>
    <row r="994" spans="1:11">
      <c r="F994">
        <f t="shared" si="181"/>
        <v>0</v>
      </c>
      <c r="G994">
        <f t="shared" si="177"/>
        <v>0</v>
      </c>
      <c r="I994">
        <f t="shared" si="179"/>
        <v>0</v>
      </c>
      <c r="J994">
        <f t="shared" si="180"/>
        <v>0</v>
      </c>
    </row>
    <row r="995" spans="1:11" ht="23.25">
      <c r="A995" s="1" t="s">
        <v>1877</v>
      </c>
      <c r="F995">
        <f t="shared" si="181"/>
        <v>0</v>
      </c>
      <c r="G995">
        <f t="shared" si="177"/>
        <v>0</v>
      </c>
      <c r="I995">
        <f t="shared" si="179"/>
        <v>0</v>
      </c>
      <c r="J995">
        <f t="shared" si="180"/>
        <v>0</v>
      </c>
    </row>
    <row r="996" spans="1:11">
      <c r="B996" t="s">
        <v>1885</v>
      </c>
      <c r="C996" t="s">
        <v>1886</v>
      </c>
      <c r="E996" s="7">
        <v>10</v>
      </c>
      <c r="F996">
        <f t="shared" si="181"/>
        <v>14</v>
      </c>
      <c r="G996">
        <f t="shared" si="177"/>
        <v>15.400000000000002</v>
      </c>
      <c r="H996" s="7">
        <v>300</v>
      </c>
      <c r="I996">
        <f t="shared" si="179"/>
        <v>420</v>
      </c>
      <c r="J996">
        <f t="shared" si="180"/>
        <v>462.00000000000006</v>
      </c>
      <c r="K996" s="7" t="s">
        <v>2357</v>
      </c>
    </row>
    <row r="997" spans="1:11">
      <c r="B997" t="s">
        <v>1885</v>
      </c>
      <c r="C997" t="s">
        <v>1887</v>
      </c>
      <c r="E997" s="7">
        <v>20</v>
      </c>
      <c r="F997">
        <f t="shared" si="181"/>
        <v>28</v>
      </c>
      <c r="G997">
        <f t="shared" si="177"/>
        <v>30.800000000000004</v>
      </c>
      <c r="H997" s="7">
        <v>1250</v>
      </c>
      <c r="I997">
        <f t="shared" si="179"/>
        <v>1750</v>
      </c>
      <c r="J997">
        <f t="shared" si="180"/>
        <v>1925.0000000000002</v>
      </c>
      <c r="K997" s="7" t="s">
        <v>2358</v>
      </c>
    </row>
    <row r="998" spans="1:11">
      <c r="B998" t="s">
        <v>1885</v>
      </c>
      <c r="C998" t="s">
        <v>1888</v>
      </c>
      <c r="E998" s="7">
        <v>22</v>
      </c>
      <c r="F998">
        <f t="shared" si="181"/>
        <v>30.799999999999997</v>
      </c>
      <c r="G998">
        <f t="shared" si="177"/>
        <v>33.880000000000003</v>
      </c>
      <c r="H998" s="7">
        <v>250</v>
      </c>
      <c r="I998">
        <f t="shared" si="179"/>
        <v>350</v>
      </c>
      <c r="J998">
        <f t="shared" si="180"/>
        <v>385.00000000000006</v>
      </c>
      <c r="K998" s="7" t="s">
        <v>2359</v>
      </c>
    </row>
    <row r="999" spans="1:11">
      <c r="B999" t="s">
        <v>1885</v>
      </c>
      <c r="C999" t="s">
        <v>1889</v>
      </c>
      <c r="E999" s="7">
        <v>65</v>
      </c>
      <c r="F999">
        <f t="shared" si="181"/>
        <v>91</v>
      </c>
      <c r="G999">
        <f t="shared" si="177"/>
        <v>100.10000000000001</v>
      </c>
      <c r="H999" s="7">
        <v>600</v>
      </c>
      <c r="I999">
        <f t="shared" si="179"/>
        <v>840</v>
      </c>
      <c r="J999">
        <f t="shared" si="180"/>
        <v>924.00000000000011</v>
      </c>
      <c r="K999" s="7" t="s">
        <v>2360</v>
      </c>
    </row>
    <row r="1000" spans="1:11">
      <c r="B1000" t="s">
        <v>1885</v>
      </c>
      <c r="C1000" t="s">
        <v>1890</v>
      </c>
      <c r="E1000" s="7">
        <v>30</v>
      </c>
      <c r="F1000">
        <f t="shared" si="181"/>
        <v>42</v>
      </c>
      <c r="G1000">
        <f t="shared" si="177"/>
        <v>46.2</v>
      </c>
      <c r="H1000" s="7">
        <v>250</v>
      </c>
      <c r="I1000">
        <f t="shared" si="179"/>
        <v>350</v>
      </c>
      <c r="J1000">
        <f t="shared" si="180"/>
        <v>385.00000000000006</v>
      </c>
      <c r="K1000" s="7" t="s">
        <v>2361</v>
      </c>
    </row>
    <row r="1001" spans="1:11">
      <c r="B1001" t="s">
        <v>1885</v>
      </c>
      <c r="C1001" t="s">
        <v>1891</v>
      </c>
      <c r="E1001" s="7">
        <v>4</v>
      </c>
      <c r="F1001">
        <f t="shared" si="181"/>
        <v>5.6</v>
      </c>
      <c r="G1001">
        <f t="shared" si="177"/>
        <v>6.16</v>
      </c>
      <c r="H1001" s="7">
        <v>35</v>
      </c>
      <c r="I1001">
        <f t="shared" si="179"/>
        <v>49</v>
      </c>
      <c r="J1001">
        <f t="shared" si="180"/>
        <v>53.900000000000006</v>
      </c>
      <c r="K1001" s="7" t="s">
        <v>2362</v>
      </c>
    </row>
    <row r="1002" spans="1:11">
      <c r="B1002" t="s">
        <v>1885</v>
      </c>
      <c r="C1002" t="s">
        <v>1892</v>
      </c>
      <c r="E1002" s="7">
        <v>30</v>
      </c>
      <c r="F1002">
        <f t="shared" si="181"/>
        <v>42</v>
      </c>
      <c r="G1002">
        <f t="shared" si="177"/>
        <v>46.2</v>
      </c>
      <c r="H1002" s="7">
        <v>195</v>
      </c>
      <c r="I1002">
        <f t="shared" si="179"/>
        <v>273</v>
      </c>
      <c r="J1002">
        <f t="shared" si="180"/>
        <v>300.3</v>
      </c>
      <c r="K1002" s="7" t="s">
        <v>2363</v>
      </c>
    </row>
    <row r="1003" spans="1:11">
      <c r="B1003" t="s">
        <v>1885</v>
      </c>
      <c r="C1003" t="s">
        <v>1893</v>
      </c>
      <c r="E1003" s="7">
        <v>12</v>
      </c>
      <c r="F1003">
        <f t="shared" si="181"/>
        <v>16.799999999999997</v>
      </c>
      <c r="G1003">
        <f t="shared" si="177"/>
        <v>18.479999999999997</v>
      </c>
      <c r="H1003" s="7">
        <v>130</v>
      </c>
      <c r="I1003">
        <f t="shared" si="179"/>
        <v>182</v>
      </c>
      <c r="J1003">
        <f t="shared" si="180"/>
        <v>200.20000000000002</v>
      </c>
      <c r="K1003" s="7" t="s">
        <v>2364</v>
      </c>
    </row>
    <row r="1004" spans="1:11">
      <c r="B1004" t="s">
        <v>1885</v>
      </c>
      <c r="C1004" t="s">
        <v>1894</v>
      </c>
      <c r="E1004" s="7">
        <v>8</v>
      </c>
      <c r="F1004">
        <f t="shared" si="181"/>
        <v>11.2</v>
      </c>
      <c r="G1004">
        <f t="shared" si="177"/>
        <v>12.32</v>
      </c>
      <c r="H1004" s="7">
        <v>100</v>
      </c>
      <c r="I1004">
        <f t="shared" si="179"/>
        <v>140</v>
      </c>
      <c r="J1004">
        <f t="shared" si="180"/>
        <v>154</v>
      </c>
      <c r="K1004" s="7" t="s">
        <v>2365</v>
      </c>
    </row>
    <row r="1005" spans="1:11">
      <c r="B1005" t="s">
        <v>1885</v>
      </c>
      <c r="C1005" t="s">
        <v>1895</v>
      </c>
      <c r="E1005" s="7">
        <v>30</v>
      </c>
      <c r="F1005">
        <f t="shared" si="181"/>
        <v>42</v>
      </c>
      <c r="G1005">
        <f t="shared" si="177"/>
        <v>46.2</v>
      </c>
      <c r="H1005" s="7">
        <v>600</v>
      </c>
      <c r="I1005">
        <f t="shared" si="179"/>
        <v>840</v>
      </c>
      <c r="J1005">
        <f t="shared" si="180"/>
        <v>924.00000000000011</v>
      </c>
      <c r="K1005" s="7" t="s">
        <v>2366</v>
      </c>
    </row>
    <row r="1006" spans="1:11">
      <c r="F1006">
        <f t="shared" si="181"/>
        <v>0</v>
      </c>
      <c r="G1006">
        <f t="shared" si="177"/>
        <v>0</v>
      </c>
      <c r="I1006">
        <f t="shared" si="179"/>
        <v>0</v>
      </c>
      <c r="J1006">
        <f t="shared" si="180"/>
        <v>0</v>
      </c>
    </row>
    <row r="1007" spans="1:11">
      <c r="B1007" t="s">
        <v>1902</v>
      </c>
      <c r="C1007" t="s">
        <v>1896</v>
      </c>
      <c r="F1007">
        <f t="shared" si="181"/>
        <v>0</v>
      </c>
      <c r="G1007">
        <f t="shared" si="177"/>
        <v>0</v>
      </c>
      <c r="H1007" s="7">
        <v>90</v>
      </c>
      <c r="I1007">
        <f t="shared" si="179"/>
        <v>125.99999999999999</v>
      </c>
      <c r="J1007">
        <f t="shared" si="180"/>
        <v>138.6</v>
      </c>
      <c r="K1007" s="7" t="s">
        <v>2367</v>
      </c>
    </row>
    <row r="1008" spans="1:11">
      <c r="B1008" t="s">
        <v>1902</v>
      </c>
      <c r="C1008" t="s">
        <v>1897</v>
      </c>
      <c r="E1008" s="7">
        <v>20</v>
      </c>
      <c r="F1008">
        <f t="shared" si="181"/>
        <v>28</v>
      </c>
      <c r="G1008">
        <f t="shared" si="177"/>
        <v>30.800000000000004</v>
      </c>
      <c r="H1008" s="7">
        <v>80</v>
      </c>
      <c r="I1008">
        <f t="shared" si="179"/>
        <v>112</v>
      </c>
      <c r="J1008">
        <f t="shared" si="180"/>
        <v>123.20000000000002</v>
      </c>
      <c r="K1008" s="7" t="s">
        <v>2368</v>
      </c>
    </row>
    <row r="1009" spans="1:11">
      <c r="B1009" t="s">
        <v>1902</v>
      </c>
      <c r="C1009" t="s">
        <v>1898</v>
      </c>
      <c r="F1009">
        <f t="shared" si="181"/>
        <v>0</v>
      </c>
      <c r="G1009">
        <f t="shared" si="177"/>
        <v>0</v>
      </c>
      <c r="H1009" s="7">
        <v>80</v>
      </c>
      <c r="I1009">
        <f t="shared" ref="I1009:I1072" si="182">H1009*1.4</f>
        <v>112</v>
      </c>
      <c r="J1009">
        <f t="shared" ref="J1009:J1072" si="183">I1009*1.1</f>
        <v>123.20000000000002</v>
      </c>
      <c r="K1009" s="7" t="s">
        <v>2369</v>
      </c>
    </row>
    <row r="1010" spans="1:11">
      <c r="B1010" t="s">
        <v>1902</v>
      </c>
      <c r="C1010" t="s">
        <v>1899</v>
      </c>
      <c r="F1010">
        <f t="shared" si="181"/>
        <v>0</v>
      </c>
      <c r="G1010">
        <f t="shared" si="177"/>
        <v>0</v>
      </c>
      <c r="H1010" s="7">
        <v>240</v>
      </c>
      <c r="I1010">
        <f t="shared" si="182"/>
        <v>336</v>
      </c>
      <c r="J1010">
        <f t="shared" si="183"/>
        <v>369.6</v>
      </c>
      <c r="K1010" s="7" t="s">
        <v>2370</v>
      </c>
    </row>
    <row r="1011" spans="1:11">
      <c r="B1011" t="s">
        <v>1902</v>
      </c>
      <c r="C1011" t="s">
        <v>1900</v>
      </c>
      <c r="E1011" s="7">
        <v>5</v>
      </c>
      <c r="F1011">
        <f t="shared" si="181"/>
        <v>7</v>
      </c>
      <c r="G1011">
        <f t="shared" si="177"/>
        <v>7.7000000000000011</v>
      </c>
      <c r="H1011" s="7">
        <v>80</v>
      </c>
      <c r="I1011">
        <f t="shared" si="182"/>
        <v>112</v>
      </c>
      <c r="J1011">
        <f t="shared" si="183"/>
        <v>123.20000000000002</v>
      </c>
      <c r="K1011" s="7" t="s">
        <v>2371</v>
      </c>
    </row>
    <row r="1012" spans="1:11">
      <c r="B1012" t="s">
        <v>1902</v>
      </c>
      <c r="C1012" t="s">
        <v>1901</v>
      </c>
      <c r="E1012" s="7">
        <v>9</v>
      </c>
      <c r="F1012">
        <f t="shared" si="181"/>
        <v>12.6</v>
      </c>
      <c r="G1012">
        <f t="shared" si="177"/>
        <v>13.860000000000001</v>
      </c>
      <c r="H1012" s="7">
        <v>80</v>
      </c>
      <c r="I1012">
        <f t="shared" si="182"/>
        <v>112</v>
      </c>
      <c r="J1012">
        <f t="shared" si="183"/>
        <v>123.20000000000002</v>
      </c>
    </row>
    <row r="1013" spans="1:11">
      <c r="F1013">
        <f t="shared" si="181"/>
        <v>0</v>
      </c>
      <c r="G1013">
        <f t="shared" si="177"/>
        <v>0</v>
      </c>
      <c r="I1013">
        <f t="shared" si="182"/>
        <v>0</v>
      </c>
      <c r="J1013">
        <f t="shared" si="183"/>
        <v>0</v>
      </c>
    </row>
    <row r="1014" spans="1:11">
      <c r="B1014" t="s">
        <v>1904</v>
      </c>
      <c r="C1014" t="s">
        <v>1903</v>
      </c>
      <c r="E1014" s="7">
        <v>200</v>
      </c>
      <c r="F1014">
        <f t="shared" si="181"/>
        <v>280</v>
      </c>
      <c r="G1014">
        <f t="shared" si="177"/>
        <v>308</v>
      </c>
      <c r="H1014" s="7">
        <v>2889</v>
      </c>
      <c r="I1014">
        <f t="shared" si="182"/>
        <v>4044.6</v>
      </c>
      <c r="J1014">
        <f t="shared" si="183"/>
        <v>4449.0600000000004</v>
      </c>
      <c r="K1014" s="7" t="s">
        <v>2372</v>
      </c>
    </row>
    <row r="1015" spans="1:11">
      <c r="F1015">
        <f t="shared" si="181"/>
        <v>0</v>
      </c>
      <c r="G1015">
        <f t="shared" si="177"/>
        <v>0</v>
      </c>
      <c r="I1015">
        <f t="shared" si="182"/>
        <v>0</v>
      </c>
      <c r="J1015">
        <f t="shared" si="183"/>
        <v>0</v>
      </c>
    </row>
    <row r="1016" spans="1:11">
      <c r="B1016" t="s">
        <v>1905</v>
      </c>
      <c r="C1016" t="s">
        <v>1906</v>
      </c>
      <c r="E1016" s="7">
        <v>50</v>
      </c>
      <c r="F1016">
        <f t="shared" si="181"/>
        <v>70</v>
      </c>
      <c r="G1016">
        <f t="shared" si="177"/>
        <v>77</v>
      </c>
      <c r="H1016" s="7">
        <v>2100</v>
      </c>
      <c r="I1016">
        <f t="shared" si="182"/>
        <v>2940</v>
      </c>
      <c r="J1016">
        <f t="shared" si="183"/>
        <v>3234.0000000000005</v>
      </c>
      <c r="K1016" s="7" t="s">
        <v>2373</v>
      </c>
    </row>
    <row r="1017" spans="1:11">
      <c r="B1017" t="s">
        <v>1905</v>
      </c>
      <c r="C1017" t="s">
        <v>1907</v>
      </c>
      <c r="E1017" s="7">
        <v>500</v>
      </c>
      <c r="F1017">
        <f t="shared" si="181"/>
        <v>700</v>
      </c>
      <c r="G1017">
        <f t="shared" si="177"/>
        <v>770.00000000000011</v>
      </c>
      <c r="H1017" s="7">
        <v>5500</v>
      </c>
      <c r="I1017">
        <f t="shared" si="182"/>
        <v>7699.9999999999991</v>
      </c>
      <c r="J1017">
        <f t="shared" si="183"/>
        <v>8470</v>
      </c>
      <c r="K1017" s="7" t="s">
        <v>2374</v>
      </c>
    </row>
    <row r="1018" spans="1:11">
      <c r="B1018" t="s">
        <v>1905</v>
      </c>
      <c r="C1018" t="s">
        <v>1908</v>
      </c>
      <c r="E1018" s="7">
        <v>150</v>
      </c>
      <c r="F1018">
        <f t="shared" si="181"/>
        <v>210</v>
      </c>
      <c r="G1018">
        <f t="shared" si="177"/>
        <v>231.00000000000003</v>
      </c>
      <c r="H1018" s="7">
        <v>495</v>
      </c>
      <c r="I1018">
        <f t="shared" si="182"/>
        <v>693</v>
      </c>
      <c r="J1018">
        <f t="shared" si="183"/>
        <v>762.30000000000007</v>
      </c>
      <c r="K1018" s="7" t="s">
        <v>2375</v>
      </c>
    </row>
    <row r="1019" spans="1:11">
      <c r="B1019" t="s">
        <v>1905</v>
      </c>
      <c r="C1019" t="s">
        <v>1909</v>
      </c>
      <c r="E1019" s="7">
        <v>150</v>
      </c>
      <c r="F1019">
        <f t="shared" si="181"/>
        <v>210</v>
      </c>
      <c r="G1019">
        <f t="shared" si="177"/>
        <v>231.00000000000003</v>
      </c>
      <c r="H1019" s="7">
        <v>450</v>
      </c>
      <c r="I1019">
        <f t="shared" si="182"/>
        <v>630</v>
      </c>
      <c r="J1019">
        <f t="shared" si="183"/>
        <v>693</v>
      </c>
      <c r="K1019" s="7" t="s">
        <v>2376</v>
      </c>
    </row>
    <row r="1020" spans="1:11">
      <c r="F1020">
        <f t="shared" si="181"/>
        <v>0</v>
      </c>
      <c r="G1020">
        <f t="shared" si="177"/>
        <v>0</v>
      </c>
      <c r="I1020">
        <f t="shared" si="182"/>
        <v>0</v>
      </c>
      <c r="J1020">
        <f t="shared" si="183"/>
        <v>0</v>
      </c>
    </row>
    <row r="1021" spans="1:11">
      <c r="B1021" t="s">
        <v>1911</v>
      </c>
      <c r="C1021" t="s">
        <v>1910</v>
      </c>
      <c r="E1021" s="7">
        <v>450</v>
      </c>
      <c r="F1021">
        <f t="shared" si="181"/>
        <v>630</v>
      </c>
      <c r="G1021">
        <f t="shared" si="177"/>
        <v>693</v>
      </c>
      <c r="H1021" s="7">
        <v>50000</v>
      </c>
      <c r="I1021">
        <f t="shared" si="182"/>
        <v>70000</v>
      </c>
      <c r="J1021">
        <f t="shared" si="183"/>
        <v>77000</v>
      </c>
      <c r="K1021" s="7" t="s">
        <v>2377</v>
      </c>
    </row>
    <row r="1022" spans="1:11">
      <c r="F1022">
        <f t="shared" si="181"/>
        <v>0</v>
      </c>
      <c r="G1022">
        <f t="shared" si="177"/>
        <v>0</v>
      </c>
      <c r="I1022">
        <f t="shared" si="182"/>
        <v>0</v>
      </c>
      <c r="J1022">
        <f t="shared" si="183"/>
        <v>0</v>
      </c>
    </row>
    <row r="1023" spans="1:11" ht="23.25">
      <c r="A1023" s="1" t="s">
        <v>1916</v>
      </c>
      <c r="F1023">
        <f t="shared" si="181"/>
        <v>0</v>
      </c>
      <c r="G1023">
        <f t="shared" si="177"/>
        <v>0</v>
      </c>
      <c r="I1023">
        <f t="shared" si="182"/>
        <v>0</v>
      </c>
      <c r="J1023">
        <f t="shared" si="183"/>
        <v>0</v>
      </c>
    </row>
    <row r="1024" spans="1:11">
      <c r="B1024" t="s">
        <v>1912</v>
      </c>
      <c r="C1024" t="s">
        <v>1913</v>
      </c>
      <c r="E1024" s="7">
        <v>50</v>
      </c>
      <c r="F1024">
        <f t="shared" si="181"/>
        <v>70</v>
      </c>
      <c r="G1024">
        <f t="shared" si="177"/>
        <v>77</v>
      </c>
      <c r="H1024" s="7">
        <v>400</v>
      </c>
      <c r="I1024">
        <f t="shared" si="182"/>
        <v>560</v>
      </c>
      <c r="J1024">
        <f t="shared" si="183"/>
        <v>616</v>
      </c>
      <c r="K1024" s="7" t="s">
        <v>2243</v>
      </c>
    </row>
    <row r="1025" spans="1:11">
      <c r="F1025">
        <f t="shared" si="181"/>
        <v>0</v>
      </c>
      <c r="G1025">
        <f t="shared" si="177"/>
        <v>0</v>
      </c>
      <c r="I1025">
        <f t="shared" si="182"/>
        <v>0</v>
      </c>
      <c r="J1025">
        <f t="shared" si="183"/>
        <v>0</v>
      </c>
    </row>
    <row r="1026" spans="1:11">
      <c r="B1026" t="s">
        <v>1915</v>
      </c>
      <c r="C1026" t="s">
        <v>1914</v>
      </c>
      <c r="D1026" s="3" t="s">
        <v>2244</v>
      </c>
      <c r="E1026" s="7">
        <v>10</v>
      </c>
      <c r="F1026">
        <f t="shared" si="181"/>
        <v>14</v>
      </c>
      <c r="G1026">
        <f t="shared" si="177"/>
        <v>15.400000000000002</v>
      </c>
      <c r="H1026" s="7">
        <v>80</v>
      </c>
      <c r="I1026">
        <f t="shared" si="182"/>
        <v>112</v>
      </c>
      <c r="J1026">
        <f t="shared" si="183"/>
        <v>123.20000000000002</v>
      </c>
      <c r="K1026" s="7" t="s">
        <v>2245</v>
      </c>
    </row>
    <row r="1027" spans="1:11">
      <c r="F1027">
        <f t="shared" si="181"/>
        <v>0</v>
      </c>
      <c r="G1027">
        <f t="shared" ref="G1027:G1090" si="184">F1027*1.1</f>
        <v>0</v>
      </c>
      <c r="I1027">
        <f t="shared" si="182"/>
        <v>0</v>
      </c>
      <c r="J1027">
        <f t="shared" si="183"/>
        <v>0</v>
      </c>
    </row>
    <row r="1028" spans="1:11" ht="23.25">
      <c r="A1028" s="1" t="s">
        <v>1917</v>
      </c>
      <c r="F1028">
        <f t="shared" si="181"/>
        <v>0</v>
      </c>
      <c r="G1028">
        <f t="shared" si="184"/>
        <v>0</v>
      </c>
      <c r="I1028">
        <f t="shared" si="182"/>
        <v>0</v>
      </c>
      <c r="J1028">
        <f t="shared" si="183"/>
        <v>0</v>
      </c>
    </row>
    <row r="1029" spans="1:11">
      <c r="B1029" t="s">
        <v>1918</v>
      </c>
      <c r="C1029" t="s">
        <v>1919</v>
      </c>
      <c r="D1029" s="3" t="s">
        <v>2246</v>
      </c>
      <c r="E1029" s="7">
        <v>15</v>
      </c>
      <c r="F1029">
        <f t="shared" si="181"/>
        <v>21</v>
      </c>
      <c r="G1029">
        <f t="shared" si="184"/>
        <v>23.1</v>
      </c>
      <c r="H1029" s="7">
        <v>130</v>
      </c>
      <c r="I1029">
        <f t="shared" si="182"/>
        <v>182</v>
      </c>
      <c r="J1029">
        <f t="shared" si="183"/>
        <v>200.20000000000002</v>
      </c>
      <c r="K1029" s="7" t="s">
        <v>2247</v>
      </c>
    </row>
    <row r="1030" spans="1:11">
      <c r="F1030">
        <f t="shared" si="181"/>
        <v>0</v>
      </c>
      <c r="G1030">
        <f t="shared" si="184"/>
        <v>0</v>
      </c>
      <c r="I1030">
        <f t="shared" si="182"/>
        <v>0</v>
      </c>
      <c r="J1030">
        <f t="shared" si="183"/>
        <v>0</v>
      </c>
    </row>
    <row r="1031" spans="1:11">
      <c r="B1031" t="s">
        <v>1922</v>
      </c>
      <c r="C1031" t="s">
        <v>1920</v>
      </c>
      <c r="D1031" s="3" t="s">
        <v>2248</v>
      </c>
      <c r="E1031" s="7">
        <v>50</v>
      </c>
      <c r="F1031">
        <f t="shared" si="181"/>
        <v>70</v>
      </c>
      <c r="G1031">
        <f t="shared" si="184"/>
        <v>77</v>
      </c>
      <c r="H1031" s="7">
        <v>500</v>
      </c>
      <c r="I1031">
        <f t="shared" si="182"/>
        <v>700</v>
      </c>
      <c r="J1031">
        <f t="shared" si="183"/>
        <v>770.00000000000011</v>
      </c>
      <c r="K1031" s="7" t="s">
        <v>2249</v>
      </c>
    </row>
    <row r="1032" spans="1:11">
      <c r="B1032" t="s">
        <v>1922</v>
      </c>
      <c r="C1032" t="s">
        <v>1921</v>
      </c>
      <c r="D1032" s="3" t="s">
        <v>2250</v>
      </c>
      <c r="E1032" s="7">
        <v>42</v>
      </c>
      <c r="F1032">
        <f t="shared" si="181"/>
        <v>58.8</v>
      </c>
      <c r="G1032">
        <f t="shared" si="184"/>
        <v>64.680000000000007</v>
      </c>
      <c r="H1032" s="7">
        <v>900</v>
      </c>
      <c r="I1032">
        <f t="shared" si="182"/>
        <v>1260</v>
      </c>
      <c r="J1032">
        <f t="shared" si="183"/>
        <v>1386</v>
      </c>
      <c r="K1032" s="7" t="s">
        <v>2251</v>
      </c>
    </row>
    <row r="1033" spans="1:11">
      <c r="F1033">
        <f t="shared" si="181"/>
        <v>0</v>
      </c>
      <c r="G1033">
        <f t="shared" si="184"/>
        <v>0</v>
      </c>
      <c r="I1033">
        <f t="shared" si="182"/>
        <v>0</v>
      </c>
      <c r="J1033">
        <f t="shared" si="183"/>
        <v>0</v>
      </c>
    </row>
    <row r="1034" spans="1:11" ht="23.25">
      <c r="A1034" s="1" t="s">
        <v>1923</v>
      </c>
      <c r="F1034">
        <f t="shared" si="181"/>
        <v>0</v>
      </c>
      <c r="G1034">
        <f t="shared" si="184"/>
        <v>0</v>
      </c>
      <c r="I1034">
        <f t="shared" si="182"/>
        <v>0</v>
      </c>
      <c r="J1034">
        <f t="shared" si="183"/>
        <v>0</v>
      </c>
    </row>
    <row r="1035" spans="1:11">
      <c r="B1035" t="s">
        <v>1924</v>
      </c>
      <c r="C1035" t="s">
        <v>1931</v>
      </c>
      <c r="D1035" s="3" t="s">
        <v>2378</v>
      </c>
      <c r="E1035" s="7">
        <v>75</v>
      </c>
      <c r="F1035">
        <f t="shared" si="181"/>
        <v>105</v>
      </c>
      <c r="G1035">
        <f t="shared" si="184"/>
        <v>115.50000000000001</v>
      </c>
      <c r="H1035" s="7">
        <v>3990</v>
      </c>
      <c r="I1035">
        <f t="shared" si="182"/>
        <v>5586</v>
      </c>
      <c r="J1035">
        <f t="shared" si="183"/>
        <v>6144.6</v>
      </c>
      <c r="K1035" s="7" t="s">
        <v>2379</v>
      </c>
    </row>
    <row r="1036" spans="1:11">
      <c r="B1036" t="s">
        <v>1924</v>
      </c>
      <c r="C1036" t="s">
        <v>1932</v>
      </c>
      <c r="D1036" s="3" t="s">
        <v>2380</v>
      </c>
      <c r="E1036" s="7">
        <v>72</v>
      </c>
      <c r="F1036">
        <f t="shared" si="181"/>
        <v>100.8</v>
      </c>
      <c r="G1036">
        <f t="shared" si="184"/>
        <v>110.88000000000001</v>
      </c>
      <c r="H1036" s="7">
        <v>3990</v>
      </c>
      <c r="I1036">
        <f t="shared" si="182"/>
        <v>5586</v>
      </c>
      <c r="J1036">
        <f t="shared" si="183"/>
        <v>6144.6</v>
      </c>
      <c r="K1036" s="7" t="s">
        <v>2381</v>
      </c>
    </row>
    <row r="1037" spans="1:11">
      <c r="B1037" t="s">
        <v>1924</v>
      </c>
      <c r="C1037" t="s">
        <v>1933</v>
      </c>
      <c r="D1037" s="3" t="s">
        <v>2382</v>
      </c>
      <c r="E1037" s="7">
        <v>70</v>
      </c>
      <c r="F1037">
        <f t="shared" si="181"/>
        <v>98</v>
      </c>
      <c r="G1037">
        <f t="shared" si="184"/>
        <v>107.80000000000001</v>
      </c>
      <c r="H1037" s="7">
        <v>3990</v>
      </c>
      <c r="I1037">
        <f t="shared" si="182"/>
        <v>5586</v>
      </c>
      <c r="J1037">
        <f t="shared" si="183"/>
        <v>6144.6</v>
      </c>
      <c r="K1037" s="7" t="s">
        <v>2383</v>
      </c>
    </row>
    <row r="1038" spans="1:11">
      <c r="B1038" t="s">
        <v>1924</v>
      </c>
      <c r="C1038" t="s">
        <v>1934</v>
      </c>
      <c r="D1038" s="3" t="s">
        <v>2384</v>
      </c>
      <c r="E1038" s="7">
        <v>65</v>
      </c>
      <c r="F1038">
        <f t="shared" si="181"/>
        <v>91</v>
      </c>
      <c r="G1038">
        <f t="shared" si="184"/>
        <v>100.10000000000001</v>
      </c>
      <c r="H1038" s="7">
        <v>3990</v>
      </c>
      <c r="I1038">
        <f t="shared" si="182"/>
        <v>5586</v>
      </c>
      <c r="J1038">
        <f t="shared" si="183"/>
        <v>6144.6</v>
      </c>
      <c r="K1038" s="7" t="s">
        <v>2385</v>
      </c>
    </row>
    <row r="1039" spans="1:11">
      <c r="B1039" t="s">
        <v>1924</v>
      </c>
      <c r="C1039" t="s">
        <v>1935</v>
      </c>
      <c r="D1039" s="10" t="s">
        <v>2386</v>
      </c>
      <c r="E1039" s="7">
        <v>62</v>
      </c>
      <c r="F1039">
        <f t="shared" si="181"/>
        <v>86.8</v>
      </c>
      <c r="G1039">
        <f t="shared" si="184"/>
        <v>95.48</v>
      </c>
      <c r="H1039" s="7">
        <v>3990</v>
      </c>
      <c r="I1039">
        <f t="shared" si="182"/>
        <v>5586</v>
      </c>
      <c r="J1039">
        <f t="shared" si="183"/>
        <v>6144.6</v>
      </c>
      <c r="K1039" s="7" t="s">
        <v>2387</v>
      </c>
    </row>
    <row r="1040" spans="1:11">
      <c r="B1040" t="s">
        <v>1924</v>
      </c>
      <c r="C1040" t="s">
        <v>1936</v>
      </c>
      <c r="D1040" s="3" t="s">
        <v>2388</v>
      </c>
      <c r="E1040" s="7">
        <v>85</v>
      </c>
      <c r="F1040">
        <f t="shared" si="181"/>
        <v>118.99999999999999</v>
      </c>
      <c r="G1040">
        <f t="shared" si="184"/>
        <v>130.9</v>
      </c>
      <c r="H1040" s="7">
        <v>6000</v>
      </c>
      <c r="I1040">
        <f t="shared" si="182"/>
        <v>8400</v>
      </c>
      <c r="J1040">
        <f t="shared" si="183"/>
        <v>9240</v>
      </c>
      <c r="K1040" s="7" t="s">
        <v>2389</v>
      </c>
    </row>
    <row r="1041" spans="2:11">
      <c r="B1041" t="s">
        <v>1924</v>
      </c>
      <c r="C1041" t="s">
        <v>1937</v>
      </c>
      <c r="E1041" s="7">
        <v>250</v>
      </c>
      <c r="F1041">
        <f t="shared" si="181"/>
        <v>350</v>
      </c>
      <c r="G1041">
        <f t="shared" si="184"/>
        <v>385.00000000000006</v>
      </c>
      <c r="I1041">
        <f t="shared" si="182"/>
        <v>0</v>
      </c>
      <c r="J1041">
        <f t="shared" si="183"/>
        <v>0</v>
      </c>
      <c r="K1041" s="7" t="s">
        <v>2390</v>
      </c>
    </row>
    <row r="1042" spans="2:11">
      <c r="B1042" t="s">
        <v>1924</v>
      </c>
      <c r="C1042" t="s">
        <v>1938</v>
      </c>
      <c r="E1042" s="7">
        <v>112</v>
      </c>
      <c r="F1042">
        <f t="shared" si="181"/>
        <v>156.79999999999998</v>
      </c>
      <c r="G1042">
        <f t="shared" si="184"/>
        <v>172.48</v>
      </c>
      <c r="H1042" s="7">
        <v>18400</v>
      </c>
      <c r="I1042">
        <f t="shared" si="182"/>
        <v>25760</v>
      </c>
      <c r="J1042">
        <f t="shared" si="183"/>
        <v>28336.000000000004</v>
      </c>
      <c r="K1042" s="7" t="s">
        <v>2391</v>
      </c>
    </row>
    <row r="1043" spans="2:11">
      <c r="B1043" t="s">
        <v>1924</v>
      </c>
      <c r="C1043" t="s">
        <v>1939</v>
      </c>
      <c r="D1043" s="3" t="s">
        <v>2392</v>
      </c>
      <c r="E1043" s="7">
        <v>90</v>
      </c>
      <c r="F1043">
        <f t="shared" si="181"/>
        <v>125.99999999999999</v>
      </c>
      <c r="G1043">
        <f t="shared" si="184"/>
        <v>138.6</v>
      </c>
      <c r="H1043" s="7">
        <v>4500</v>
      </c>
      <c r="I1043">
        <f t="shared" si="182"/>
        <v>6300</v>
      </c>
      <c r="J1043">
        <f t="shared" si="183"/>
        <v>6930.0000000000009</v>
      </c>
      <c r="K1043" s="7" t="s">
        <v>2393</v>
      </c>
    </row>
    <row r="1044" spans="2:11">
      <c r="B1044" t="s">
        <v>1924</v>
      </c>
      <c r="C1044" t="s">
        <v>1940</v>
      </c>
      <c r="D1044" s="10" t="s">
        <v>2394</v>
      </c>
      <c r="E1044" s="7">
        <v>80</v>
      </c>
      <c r="F1044">
        <f t="shared" si="181"/>
        <v>112</v>
      </c>
      <c r="G1044">
        <f t="shared" si="184"/>
        <v>123.20000000000002</v>
      </c>
      <c r="H1044" s="7">
        <v>5700</v>
      </c>
      <c r="I1044">
        <f t="shared" si="182"/>
        <v>7979.9999999999991</v>
      </c>
      <c r="J1044">
        <f t="shared" si="183"/>
        <v>8778</v>
      </c>
      <c r="K1044" s="7" t="s">
        <v>2395</v>
      </c>
    </row>
    <row r="1045" spans="2:11">
      <c r="B1045" t="s">
        <v>1924</v>
      </c>
      <c r="C1045" t="s">
        <v>1941</v>
      </c>
      <c r="D1045" s="3" t="s">
        <v>2396</v>
      </c>
      <c r="E1045" s="7">
        <v>90</v>
      </c>
      <c r="F1045">
        <f t="shared" si="181"/>
        <v>125.99999999999999</v>
      </c>
      <c r="G1045">
        <f t="shared" si="184"/>
        <v>138.6</v>
      </c>
      <c r="H1045" s="7">
        <v>5700</v>
      </c>
      <c r="I1045">
        <f t="shared" si="182"/>
        <v>7979.9999999999991</v>
      </c>
      <c r="J1045">
        <f t="shared" si="183"/>
        <v>8778</v>
      </c>
      <c r="K1045" s="7" t="s">
        <v>2397</v>
      </c>
    </row>
    <row r="1046" spans="2:11">
      <c r="B1046" t="s">
        <v>1924</v>
      </c>
      <c r="C1046" t="s">
        <v>1942</v>
      </c>
      <c r="D1046" s="3" t="s">
        <v>2398</v>
      </c>
      <c r="E1046" s="7">
        <v>90</v>
      </c>
      <c r="F1046">
        <f t="shared" si="181"/>
        <v>125.99999999999999</v>
      </c>
      <c r="G1046">
        <f t="shared" si="184"/>
        <v>138.6</v>
      </c>
      <c r="H1046" s="7">
        <v>4500</v>
      </c>
      <c r="I1046">
        <f t="shared" si="182"/>
        <v>6300</v>
      </c>
      <c r="J1046">
        <f t="shared" si="183"/>
        <v>6930.0000000000009</v>
      </c>
      <c r="K1046" s="7" t="s">
        <v>2399</v>
      </c>
    </row>
    <row r="1047" spans="2:11">
      <c r="B1047" t="s">
        <v>1924</v>
      </c>
      <c r="C1047" t="s">
        <v>1943</v>
      </c>
      <c r="D1047" s="3" t="s">
        <v>2400</v>
      </c>
      <c r="E1047" s="7">
        <v>90</v>
      </c>
      <c r="F1047">
        <f t="shared" si="181"/>
        <v>125.99999999999999</v>
      </c>
      <c r="G1047">
        <f t="shared" si="184"/>
        <v>138.6</v>
      </c>
      <c r="H1047" s="7">
        <v>3999</v>
      </c>
      <c r="I1047">
        <f t="shared" si="182"/>
        <v>5598.5999999999995</v>
      </c>
      <c r="J1047">
        <f t="shared" si="183"/>
        <v>6158.46</v>
      </c>
      <c r="K1047" s="7" t="s">
        <v>2401</v>
      </c>
    </row>
    <row r="1048" spans="2:11">
      <c r="B1048" t="s">
        <v>1924</v>
      </c>
      <c r="C1048" t="s">
        <v>1925</v>
      </c>
      <c r="E1048" s="7">
        <v>117</v>
      </c>
      <c r="F1048">
        <f t="shared" si="181"/>
        <v>163.79999999999998</v>
      </c>
      <c r="G1048">
        <f t="shared" si="184"/>
        <v>180.18</v>
      </c>
      <c r="I1048">
        <f t="shared" si="182"/>
        <v>0</v>
      </c>
      <c r="J1048">
        <f t="shared" si="183"/>
        <v>0</v>
      </c>
      <c r="K1048" s="7" t="s">
        <v>2402</v>
      </c>
    </row>
    <row r="1049" spans="2:11">
      <c r="B1049" t="s">
        <v>1924</v>
      </c>
      <c r="C1049" t="s">
        <v>2404</v>
      </c>
      <c r="D1049" s="4" t="s">
        <v>2405</v>
      </c>
      <c r="E1049" s="7">
        <v>150</v>
      </c>
      <c r="F1049">
        <f t="shared" si="181"/>
        <v>210</v>
      </c>
      <c r="G1049">
        <f t="shared" si="184"/>
        <v>231.00000000000003</v>
      </c>
      <c r="H1049" s="7">
        <v>15000</v>
      </c>
      <c r="I1049">
        <f t="shared" si="182"/>
        <v>21000</v>
      </c>
      <c r="J1049">
        <f t="shared" si="183"/>
        <v>23100.000000000004</v>
      </c>
      <c r="K1049" s="7" t="s">
        <v>2403</v>
      </c>
    </row>
    <row r="1050" spans="2:11">
      <c r="B1050" t="s">
        <v>1924</v>
      </c>
      <c r="C1050" t="s">
        <v>1944</v>
      </c>
      <c r="D1050" s="3" t="s">
        <v>2406</v>
      </c>
      <c r="E1050" s="7">
        <v>90</v>
      </c>
      <c r="F1050">
        <f t="shared" si="181"/>
        <v>125.99999999999999</v>
      </c>
      <c r="G1050">
        <f t="shared" si="184"/>
        <v>138.6</v>
      </c>
      <c r="H1050" s="7">
        <v>4500</v>
      </c>
      <c r="I1050">
        <f t="shared" si="182"/>
        <v>6300</v>
      </c>
      <c r="J1050">
        <f t="shared" si="183"/>
        <v>6930.0000000000009</v>
      </c>
      <c r="K1050" s="7" t="s">
        <v>2407</v>
      </c>
    </row>
    <row r="1051" spans="2:11">
      <c r="B1051" t="s">
        <v>1924</v>
      </c>
      <c r="C1051" t="s">
        <v>1945</v>
      </c>
      <c r="D1051" s="3" t="s">
        <v>2408</v>
      </c>
      <c r="E1051" s="7">
        <v>90</v>
      </c>
      <c r="F1051">
        <f t="shared" si="181"/>
        <v>125.99999999999999</v>
      </c>
      <c r="G1051">
        <f t="shared" si="184"/>
        <v>138.6</v>
      </c>
      <c r="H1051" s="7">
        <v>4500</v>
      </c>
      <c r="I1051">
        <f t="shared" si="182"/>
        <v>6300</v>
      </c>
      <c r="J1051">
        <f t="shared" si="183"/>
        <v>6930.0000000000009</v>
      </c>
      <c r="K1051" s="7" t="s">
        <v>2409</v>
      </c>
    </row>
    <row r="1052" spans="2:11">
      <c r="B1052" t="s">
        <v>1924</v>
      </c>
      <c r="C1052" t="s">
        <v>1975</v>
      </c>
      <c r="D1052" s="3" t="s">
        <v>2410</v>
      </c>
      <c r="E1052" s="7">
        <v>90</v>
      </c>
      <c r="F1052">
        <f t="shared" si="181"/>
        <v>125.99999999999999</v>
      </c>
      <c r="G1052">
        <f t="shared" si="184"/>
        <v>138.6</v>
      </c>
      <c r="H1052" s="7">
        <v>4900</v>
      </c>
      <c r="I1052">
        <f t="shared" si="182"/>
        <v>6860</v>
      </c>
      <c r="J1052">
        <f t="shared" si="183"/>
        <v>7546.0000000000009</v>
      </c>
      <c r="K1052" s="7" t="s">
        <v>2411</v>
      </c>
    </row>
    <row r="1053" spans="2:11">
      <c r="B1053" t="s">
        <v>1924</v>
      </c>
      <c r="C1053" t="s">
        <v>1946</v>
      </c>
      <c r="E1053" s="7">
        <v>95</v>
      </c>
      <c r="F1053">
        <f t="shared" si="181"/>
        <v>133</v>
      </c>
      <c r="G1053">
        <f t="shared" si="184"/>
        <v>146.30000000000001</v>
      </c>
      <c r="H1053" s="7">
        <v>10000</v>
      </c>
      <c r="I1053">
        <f t="shared" si="182"/>
        <v>14000</v>
      </c>
      <c r="J1053">
        <f t="shared" si="183"/>
        <v>15400.000000000002</v>
      </c>
      <c r="K1053" s="7" t="s">
        <v>2412</v>
      </c>
    </row>
    <row r="1054" spans="2:11">
      <c r="B1054" t="s">
        <v>1924</v>
      </c>
      <c r="C1054" t="s">
        <v>1947</v>
      </c>
      <c r="E1054" s="7">
        <v>95</v>
      </c>
      <c r="F1054">
        <f t="shared" si="181"/>
        <v>133</v>
      </c>
      <c r="G1054">
        <f t="shared" si="184"/>
        <v>146.30000000000001</v>
      </c>
      <c r="H1054" s="7">
        <v>10000</v>
      </c>
      <c r="I1054">
        <f t="shared" si="182"/>
        <v>14000</v>
      </c>
      <c r="J1054">
        <f t="shared" si="183"/>
        <v>15400.000000000002</v>
      </c>
      <c r="K1054" s="7" t="s">
        <v>2413</v>
      </c>
    </row>
    <row r="1055" spans="2:11">
      <c r="B1055" t="s">
        <v>1924</v>
      </c>
      <c r="C1055" t="s">
        <v>1948</v>
      </c>
      <c r="E1055" s="7">
        <v>95</v>
      </c>
      <c r="F1055">
        <f t="shared" si="181"/>
        <v>133</v>
      </c>
      <c r="G1055">
        <f t="shared" si="184"/>
        <v>146.30000000000001</v>
      </c>
      <c r="H1055" s="7">
        <v>10000</v>
      </c>
      <c r="I1055">
        <f t="shared" si="182"/>
        <v>14000</v>
      </c>
      <c r="J1055">
        <f t="shared" si="183"/>
        <v>15400.000000000002</v>
      </c>
      <c r="K1055" s="7" t="s">
        <v>2414</v>
      </c>
    </row>
    <row r="1056" spans="2:11">
      <c r="B1056" t="s">
        <v>1924</v>
      </c>
      <c r="C1056" t="s">
        <v>1949</v>
      </c>
      <c r="E1056" s="7">
        <v>95</v>
      </c>
      <c r="F1056">
        <f t="shared" ref="F1056:F1117" si="185">E1056*1.4</f>
        <v>133</v>
      </c>
      <c r="G1056">
        <f t="shared" si="184"/>
        <v>146.30000000000001</v>
      </c>
      <c r="H1056" s="7">
        <v>10000</v>
      </c>
      <c r="I1056">
        <f t="shared" si="182"/>
        <v>14000</v>
      </c>
      <c r="J1056">
        <f t="shared" si="183"/>
        <v>15400.000000000002</v>
      </c>
      <c r="K1056" s="7" t="s">
        <v>2415</v>
      </c>
    </row>
    <row r="1057" spans="2:11">
      <c r="B1057" t="s">
        <v>1924</v>
      </c>
      <c r="C1057" t="s">
        <v>1950</v>
      </c>
      <c r="E1057" s="7">
        <v>115</v>
      </c>
      <c r="F1057">
        <f t="shared" si="185"/>
        <v>161</v>
      </c>
      <c r="G1057">
        <f t="shared" si="184"/>
        <v>177.10000000000002</v>
      </c>
      <c r="H1057" s="7">
        <v>10000</v>
      </c>
      <c r="I1057">
        <f t="shared" si="182"/>
        <v>14000</v>
      </c>
      <c r="J1057">
        <f t="shared" si="183"/>
        <v>15400.000000000002</v>
      </c>
      <c r="K1057" s="7" t="s">
        <v>2416</v>
      </c>
    </row>
    <row r="1058" spans="2:11">
      <c r="B1058" t="s">
        <v>1924</v>
      </c>
      <c r="C1058" t="s">
        <v>1951</v>
      </c>
      <c r="E1058" s="7">
        <v>95</v>
      </c>
      <c r="F1058">
        <f t="shared" si="185"/>
        <v>133</v>
      </c>
      <c r="G1058">
        <f t="shared" si="184"/>
        <v>146.30000000000001</v>
      </c>
      <c r="H1058" s="7">
        <v>10000</v>
      </c>
      <c r="I1058">
        <f t="shared" si="182"/>
        <v>14000</v>
      </c>
      <c r="J1058">
        <f t="shared" si="183"/>
        <v>15400.000000000002</v>
      </c>
      <c r="K1058" s="7" t="s">
        <v>2417</v>
      </c>
    </row>
    <row r="1059" spans="2:11">
      <c r="B1059" t="s">
        <v>1924</v>
      </c>
      <c r="C1059" t="s">
        <v>1926</v>
      </c>
      <c r="D1059" s="3" t="s">
        <v>2418</v>
      </c>
      <c r="E1059" s="7">
        <v>30</v>
      </c>
      <c r="F1059">
        <f t="shared" si="185"/>
        <v>42</v>
      </c>
      <c r="G1059">
        <f t="shared" si="184"/>
        <v>46.2</v>
      </c>
      <c r="H1059" s="7">
        <v>725</v>
      </c>
      <c r="I1059">
        <f t="shared" si="182"/>
        <v>1014.9999999999999</v>
      </c>
      <c r="J1059">
        <f t="shared" si="183"/>
        <v>1116.5</v>
      </c>
      <c r="K1059" s="7" t="s">
        <v>2419</v>
      </c>
    </row>
    <row r="1060" spans="2:11">
      <c r="B1060" t="s">
        <v>1924</v>
      </c>
      <c r="C1060" t="s">
        <v>1927</v>
      </c>
      <c r="D1060" s="3" t="s">
        <v>2420</v>
      </c>
      <c r="E1060" s="7">
        <v>41</v>
      </c>
      <c r="F1060">
        <f t="shared" si="185"/>
        <v>57.4</v>
      </c>
      <c r="G1060">
        <f t="shared" si="184"/>
        <v>63.14</v>
      </c>
      <c r="H1060" s="7">
        <v>1300</v>
      </c>
      <c r="I1060">
        <f t="shared" si="182"/>
        <v>1819.9999999999998</v>
      </c>
      <c r="J1060">
        <f t="shared" si="183"/>
        <v>2002</v>
      </c>
      <c r="K1060" s="7" t="s">
        <v>2421</v>
      </c>
    </row>
    <row r="1061" spans="2:11">
      <c r="B1061" t="s">
        <v>1924</v>
      </c>
      <c r="C1061" t="s">
        <v>1928</v>
      </c>
      <c r="D1061" s="3" t="s">
        <v>2422</v>
      </c>
      <c r="E1061" s="7">
        <v>250</v>
      </c>
      <c r="F1061">
        <f t="shared" si="185"/>
        <v>350</v>
      </c>
      <c r="G1061">
        <f t="shared" si="184"/>
        <v>385.00000000000006</v>
      </c>
      <c r="H1061" s="7">
        <v>20000</v>
      </c>
      <c r="I1061">
        <f t="shared" si="182"/>
        <v>28000</v>
      </c>
      <c r="J1061">
        <f t="shared" si="183"/>
        <v>30800.000000000004</v>
      </c>
      <c r="K1061" s="7" t="s">
        <v>2423</v>
      </c>
    </row>
    <row r="1062" spans="2:11">
      <c r="B1062" t="s">
        <v>1924</v>
      </c>
      <c r="C1062" t="s">
        <v>1929</v>
      </c>
      <c r="D1062" s="3" t="s">
        <v>2424</v>
      </c>
      <c r="E1062" s="7">
        <v>237</v>
      </c>
      <c r="F1062">
        <f t="shared" si="185"/>
        <v>331.79999999999995</v>
      </c>
      <c r="G1062">
        <f t="shared" si="184"/>
        <v>364.97999999999996</v>
      </c>
      <c r="H1062" s="7">
        <v>20000</v>
      </c>
      <c r="I1062">
        <f t="shared" si="182"/>
        <v>28000</v>
      </c>
      <c r="J1062">
        <f t="shared" si="183"/>
        <v>30800.000000000004</v>
      </c>
      <c r="K1062" s="7" t="s">
        <v>2425</v>
      </c>
    </row>
    <row r="1063" spans="2:11">
      <c r="B1063" t="s">
        <v>1924</v>
      </c>
      <c r="C1063" t="s">
        <v>1930</v>
      </c>
      <c r="D1063" s="3" t="s">
        <v>2426</v>
      </c>
      <c r="E1063" s="7">
        <v>40</v>
      </c>
      <c r="F1063">
        <f t="shared" si="185"/>
        <v>56</v>
      </c>
      <c r="G1063">
        <f t="shared" si="184"/>
        <v>61.600000000000009</v>
      </c>
      <c r="H1063" s="7">
        <v>1100</v>
      </c>
      <c r="I1063">
        <f t="shared" si="182"/>
        <v>1540</v>
      </c>
      <c r="J1063">
        <f t="shared" si="183"/>
        <v>1694.0000000000002</v>
      </c>
      <c r="K1063" s="7" t="s">
        <v>2427</v>
      </c>
    </row>
    <row r="1064" spans="2:11">
      <c r="B1064" t="s">
        <v>1924</v>
      </c>
      <c r="C1064" t="s">
        <v>1952</v>
      </c>
      <c r="D1064" s="3" t="s">
        <v>2428</v>
      </c>
      <c r="E1064" s="7">
        <v>47</v>
      </c>
      <c r="F1064">
        <f t="shared" si="185"/>
        <v>65.8</v>
      </c>
      <c r="G1064">
        <f t="shared" si="184"/>
        <v>72.38000000000001</v>
      </c>
      <c r="H1064" s="7">
        <v>1400</v>
      </c>
      <c r="I1064">
        <f t="shared" si="182"/>
        <v>1959.9999999999998</v>
      </c>
      <c r="J1064">
        <f t="shared" si="183"/>
        <v>2156</v>
      </c>
      <c r="K1064" s="7" t="s">
        <v>2429</v>
      </c>
    </row>
    <row r="1065" spans="2:11">
      <c r="B1065" t="s">
        <v>1924</v>
      </c>
      <c r="C1065" t="s">
        <v>1953</v>
      </c>
      <c r="E1065" s="7">
        <v>37</v>
      </c>
      <c r="F1065">
        <f t="shared" si="185"/>
        <v>51.8</v>
      </c>
      <c r="G1065">
        <f t="shared" si="184"/>
        <v>56.980000000000004</v>
      </c>
      <c r="H1065" s="7">
        <v>2300</v>
      </c>
      <c r="I1065">
        <f t="shared" si="182"/>
        <v>3220</v>
      </c>
      <c r="J1065">
        <f t="shared" si="183"/>
        <v>3542.0000000000005</v>
      </c>
      <c r="K1065" s="7" t="s">
        <v>2430</v>
      </c>
    </row>
    <row r="1066" spans="2:11">
      <c r="B1066" t="s">
        <v>1924</v>
      </c>
      <c r="C1066" t="s">
        <v>1954</v>
      </c>
      <c r="D1066" s="3" t="s">
        <v>2431</v>
      </c>
      <c r="E1066" s="7">
        <v>45</v>
      </c>
      <c r="F1066">
        <f t="shared" si="185"/>
        <v>62.999999999999993</v>
      </c>
      <c r="G1066">
        <f t="shared" si="184"/>
        <v>69.3</v>
      </c>
      <c r="H1066" s="7">
        <v>1600</v>
      </c>
      <c r="I1066">
        <f t="shared" si="182"/>
        <v>2240</v>
      </c>
      <c r="J1066">
        <f t="shared" si="183"/>
        <v>2464</v>
      </c>
      <c r="K1066" s="7" t="s">
        <v>2432</v>
      </c>
    </row>
    <row r="1067" spans="2:11">
      <c r="B1067" t="s">
        <v>1924</v>
      </c>
      <c r="C1067" t="s">
        <v>1955</v>
      </c>
      <c r="D1067" s="3" t="s">
        <v>2433</v>
      </c>
      <c r="E1067" s="7">
        <v>39</v>
      </c>
      <c r="F1067">
        <f t="shared" si="185"/>
        <v>54.599999999999994</v>
      </c>
      <c r="G1067">
        <f t="shared" si="184"/>
        <v>60.059999999999995</v>
      </c>
      <c r="H1067" s="7">
        <v>1300</v>
      </c>
      <c r="I1067">
        <f t="shared" si="182"/>
        <v>1819.9999999999998</v>
      </c>
      <c r="J1067">
        <f t="shared" si="183"/>
        <v>2002</v>
      </c>
      <c r="K1067" s="7" t="s">
        <v>2434</v>
      </c>
    </row>
    <row r="1068" spans="2:11">
      <c r="B1068" t="s">
        <v>1924</v>
      </c>
      <c r="C1068" t="s">
        <v>1959</v>
      </c>
      <c r="D1068" s="3" t="s">
        <v>2435</v>
      </c>
      <c r="E1068" s="7">
        <v>52</v>
      </c>
      <c r="F1068">
        <f t="shared" si="185"/>
        <v>72.8</v>
      </c>
      <c r="G1068">
        <f t="shared" si="184"/>
        <v>80.08</v>
      </c>
      <c r="H1068" s="7">
        <v>5000</v>
      </c>
      <c r="I1068">
        <f t="shared" si="182"/>
        <v>7000</v>
      </c>
      <c r="J1068">
        <f t="shared" si="183"/>
        <v>7700.0000000000009</v>
      </c>
      <c r="K1068" s="7" t="s">
        <v>2436</v>
      </c>
    </row>
    <row r="1069" spans="2:11">
      <c r="B1069" t="s">
        <v>1924</v>
      </c>
      <c r="C1069" t="s">
        <v>1958</v>
      </c>
      <c r="D1069" s="3" t="s">
        <v>2437</v>
      </c>
      <c r="F1069">
        <f t="shared" si="185"/>
        <v>0</v>
      </c>
      <c r="G1069">
        <f t="shared" si="184"/>
        <v>0</v>
      </c>
      <c r="H1069" s="7">
        <v>400</v>
      </c>
      <c r="I1069">
        <f t="shared" si="182"/>
        <v>560</v>
      </c>
      <c r="J1069">
        <f t="shared" si="183"/>
        <v>616</v>
      </c>
      <c r="K1069" s="7" t="s">
        <v>2438</v>
      </c>
    </row>
    <row r="1070" spans="2:11">
      <c r="B1070" t="s">
        <v>1924</v>
      </c>
      <c r="C1070" t="s">
        <v>1957</v>
      </c>
      <c r="D1070" s="3" t="s">
        <v>2439</v>
      </c>
      <c r="F1070">
        <f t="shared" si="185"/>
        <v>0</v>
      </c>
      <c r="G1070">
        <f t="shared" si="184"/>
        <v>0</v>
      </c>
      <c r="H1070" s="7">
        <v>4500</v>
      </c>
      <c r="I1070">
        <f t="shared" si="182"/>
        <v>6300</v>
      </c>
      <c r="J1070">
        <f t="shared" si="183"/>
        <v>6930.0000000000009</v>
      </c>
      <c r="K1070" s="7" t="s">
        <v>2440</v>
      </c>
    </row>
    <row r="1071" spans="2:11">
      <c r="B1071" t="s">
        <v>1924</v>
      </c>
      <c r="C1071" t="s">
        <v>1956</v>
      </c>
      <c r="D1071" s="3" t="s">
        <v>2441</v>
      </c>
      <c r="E1071" s="7">
        <v>75</v>
      </c>
      <c r="F1071">
        <f t="shared" si="185"/>
        <v>105</v>
      </c>
      <c r="G1071">
        <f t="shared" si="184"/>
        <v>115.50000000000001</v>
      </c>
      <c r="H1071" s="7">
        <v>4500</v>
      </c>
      <c r="I1071">
        <f t="shared" si="182"/>
        <v>6300</v>
      </c>
      <c r="J1071">
        <f t="shared" si="183"/>
        <v>6930.0000000000009</v>
      </c>
      <c r="K1071" s="7" t="s">
        <v>2442</v>
      </c>
    </row>
    <row r="1072" spans="2:11">
      <c r="B1072" t="s">
        <v>1924</v>
      </c>
      <c r="C1072" t="s">
        <v>1961</v>
      </c>
      <c r="D1072" s="3" t="s">
        <v>2443</v>
      </c>
      <c r="E1072" s="7">
        <v>75</v>
      </c>
      <c r="F1072">
        <f t="shared" si="185"/>
        <v>105</v>
      </c>
      <c r="G1072">
        <f t="shared" si="184"/>
        <v>115.50000000000001</v>
      </c>
      <c r="H1072" s="7">
        <v>4000</v>
      </c>
      <c r="I1072">
        <f t="shared" si="182"/>
        <v>5600</v>
      </c>
      <c r="J1072">
        <f t="shared" si="183"/>
        <v>6160.0000000000009</v>
      </c>
      <c r="K1072" s="7" t="s">
        <v>2444</v>
      </c>
    </row>
    <row r="1073" spans="2:11">
      <c r="B1073" t="s">
        <v>1924</v>
      </c>
      <c r="C1073" t="s">
        <v>1960</v>
      </c>
      <c r="D1073" s="3" t="s">
        <v>2445</v>
      </c>
      <c r="F1073">
        <f t="shared" si="185"/>
        <v>0</v>
      </c>
      <c r="G1073">
        <f t="shared" si="184"/>
        <v>0</v>
      </c>
      <c r="H1073" s="7">
        <v>5000</v>
      </c>
      <c r="I1073">
        <f t="shared" ref="I1073:I1118" si="186">H1073*1.4</f>
        <v>7000</v>
      </c>
      <c r="J1073">
        <f t="shared" ref="J1073:J1118" si="187">I1073*1.1</f>
        <v>7700.0000000000009</v>
      </c>
      <c r="K1073" s="7" t="s">
        <v>2446</v>
      </c>
    </row>
    <row r="1074" spans="2:11">
      <c r="B1074" t="s">
        <v>1924</v>
      </c>
      <c r="C1074" t="s">
        <v>1962</v>
      </c>
      <c r="D1074" s="3" t="s">
        <v>2447</v>
      </c>
      <c r="E1074" s="7">
        <v>54</v>
      </c>
      <c r="F1074">
        <f t="shared" si="185"/>
        <v>75.599999999999994</v>
      </c>
      <c r="G1074">
        <f t="shared" si="184"/>
        <v>83.16</v>
      </c>
      <c r="H1074" s="7">
        <v>1000</v>
      </c>
      <c r="I1074">
        <f t="shared" si="186"/>
        <v>1400</v>
      </c>
      <c r="J1074">
        <f t="shared" si="187"/>
        <v>1540.0000000000002</v>
      </c>
      <c r="K1074" s="7" t="s">
        <v>2448</v>
      </c>
    </row>
    <row r="1075" spans="2:11">
      <c r="B1075" t="s">
        <v>1924</v>
      </c>
      <c r="C1075" t="s">
        <v>1963</v>
      </c>
      <c r="D1075" s="3" t="s">
        <v>2449</v>
      </c>
      <c r="E1075" s="7">
        <v>35</v>
      </c>
      <c r="F1075">
        <f t="shared" si="185"/>
        <v>49</v>
      </c>
      <c r="G1075">
        <f t="shared" si="184"/>
        <v>53.900000000000006</v>
      </c>
      <c r="H1075" s="7">
        <v>1800</v>
      </c>
      <c r="I1075">
        <f t="shared" si="186"/>
        <v>2520</v>
      </c>
      <c r="J1075">
        <f t="shared" si="187"/>
        <v>2772</v>
      </c>
      <c r="K1075" s="7" t="s">
        <v>2450</v>
      </c>
    </row>
    <row r="1076" spans="2:11">
      <c r="B1076" t="s">
        <v>1924</v>
      </c>
      <c r="C1076" t="s">
        <v>1964</v>
      </c>
      <c r="D1076" s="3" t="s">
        <v>2451</v>
      </c>
      <c r="E1076" s="7">
        <v>42</v>
      </c>
      <c r="F1076">
        <f t="shared" si="185"/>
        <v>58.8</v>
      </c>
      <c r="G1076">
        <f t="shared" si="184"/>
        <v>64.680000000000007</v>
      </c>
      <c r="H1076" s="7">
        <v>1850</v>
      </c>
      <c r="I1076">
        <f t="shared" si="186"/>
        <v>2590</v>
      </c>
      <c r="J1076">
        <f t="shared" si="187"/>
        <v>2849.0000000000005</v>
      </c>
      <c r="K1076" s="7" t="s">
        <v>2452</v>
      </c>
    </row>
    <row r="1077" spans="2:11">
      <c r="B1077" t="s">
        <v>1924</v>
      </c>
      <c r="C1077" t="s">
        <v>1965</v>
      </c>
      <c r="D1077" s="3" t="s">
        <v>2453</v>
      </c>
      <c r="E1077" s="7">
        <v>27</v>
      </c>
      <c r="F1077">
        <f t="shared" si="185"/>
        <v>37.799999999999997</v>
      </c>
      <c r="G1077">
        <f t="shared" si="184"/>
        <v>41.58</v>
      </c>
      <c r="H1077" s="7">
        <v>1100</v>
      </c>
      <c r="I1077">
        <f t="shared" si="186"/>
        <v>1540</v>
      </c>
      <c r="J1077">
        <f t="shared" si="187"/>
        <v>1694.0000000000002</v>
      </c>
      <c r="K1077" s="7" t="s">
        <v>2454</v>
      </c>
    </row>
    <row r="1078" spans="2:11">
      <c r="B1078" t="s">
        <v>1924</v>
      </c>
      <c r="C1078" t="s">
        <v>1966</v>
      </c>
      <c r="D1078" s="3" t="s">
        <v>2455</v>
      </c>
      <c r="E1078" s="7">
        <v>21</v>
      </c>
      <c r="F1078">
        <f t="shared" si="185"/>
        <v>29.4</v>
      </c>
      <c r="G1078">
        <f t="shared" si="184"/>
        <v>32.340000000000003</v>
      </c>
      <c r="H1078" s="7">
        <v>1200</v>
      </c>
      <c r="I1078">
        <f t="shared" si="186"/>
        <v>1680</v>
      </c>
      <c r="J1078">
        <f t="shared" si="187"/>
        <v>1848.0000000000002</v>
      </c>
      <c r="K1078" s="7" t="s">
        <v>2456</v>
      </c>
    </row>
    <row r="1079" spans="2:11">
      <c r="B1079" t="s">
        <v>1924</v>
      </c>
      <c r="C1079" t="s">
        <v>1967</v>
      </c>
      <c r="D1079" s="3" t="s">
        <v>2457</v>
      </c>
      <c r="E1079" s="7">
        <v>28</v>
      </c>
      <c r="F1079">
        <f t="shared" si="185"/>
        <v>39.199999999999996</v>
      </c>
      <c r="G1079">
        <f t="shared" si="184"/>
        <v>43.12</v>
      </c>
      <c r="H1079" s="7">
        <v>1200</v>
      </c>
      <c r="I1079">
        <f t="shared" si="186"/>
        <v>1680</v>
      </c>
      <c r="J1079">
        <f t="shared" si="187"/>
        <v>1848.0000000000002</v>
      </c>
      <c r="K1079" s="7" t="s">
        <v>2458</v>
      </c>
    </row>
    <row r="1080" spans="2:11">
      <c r="B1080" t="s">
        <v>1924</v>
      </c>
      <c r="C1080" t="s">
        <v>1968</v>
      </c>
      <c r="D1080" s="3" t="s">
        <v>2459</v>
      </c>
      <c r="E1080" s="7">
        <v>24</v>
      </c>
      <c r="F1080">
        <f t="shared" si="185"/>
        <v>33.599999999999994</v>
      </c>
      <c r="G1080">
        <f t="shared" si="184"/>
        <v>36.959999999999994</v>
      </c>
      <c r="H1080" s="7">
        <v>1300</v>
      </c>
      <c r="I1080">
        <f t="shared" si="186"/>
        <v>1819.9999999999998</v>
      </c>
      <c r="J1080">
        <f t="shared" si="187"/>
        <v>2002</v>
      </c>
      <c r="K1080" s="7" t="s">
        <v>2460</v>
      </c>
    </row>
    <row r="1081" spans="2:11">
      <c r="B1081" t="s">
        <v>1924</v>
      </c>
      <c r="C1081" t="s">
        <v>1969</v>
      </c>
      <c r="D1081" s="3" t="s">
        <v>2461</v>
      </c>
      <c r="E1081" s="7">
        <v>37</v>
      </c>
      <c r="F1081">
        <f t="shared" si="185"/>
        <v>51.8</v>
      </c>
      <c r="G1081">
        <f t="shared" si="184"/>
        <v>56.980000000000004</v>
      </c>
      <c r="H1081" s="7">
        <v>1300</v>
      </c>
      <c r="I1081">
        <f t="shared" si="186"/>
        <v>1819.9999999999998</v>
      </c>
      <c r="J1081">
        <f t="shared" si="187"/>
        <v>2002</v>
      </c>
      <c r="K1081" s="7" t="s">
        <v>2462</v>
      </c>
    </row>
    <row r="1082" spans="2:11">
      <c r="B1082" t="s">
        <v>1924</v>
      </c>
      <c r="C1082" t="s">
        <v>1970</v>
      </c>
      <c r="D1082" s="3" t="s">
        <v>2463</v>
      </c>
      <c r="E1082" s="7">
        <v>39</v>
      </c>
      <c r="F1082">
        <f t="shared" si="185"/>
        <v>54.599999999999994</v>
      </c>
      <c r="G1082">
        <f t="shared" si="184"/>
        <v>60.059999999999995</v>
      </c>
      <c r="H1082" s="7">
        <v>1900</v>
      </c>
      <c r="I1082">
        <f t="shared" si="186"/>
        <v>2660</v>
      </c>
      <c r="J1082">
        <f t="shared" si="187"/>
        <v>2926.0000000000005</v>
      </c>
      <c r="K1082" s="7" t="s">
        <v>2464</v>
      </c>
    </row>
    <row r="1083" spans="2:11">
      <c r="B1083" t="s">
        <v>1924</v>
      </c>
      <c r="C1083" t="s">
        <v>1971</v>
      </c>
      <c r="D1083" s="10" t="s">
        <v>2465</v>
      </c>
      <c r="E1083" s="7">
        <v>28</v>
      </c>
      <c r="F1083">
        <f t="shared" si="185"/>
        <v>39.199999999999996</v>
      </c>
      <c r="G1083">
        <f t="shared" si="184"/>
        <v>43.12</v>
      </c>
      <c r="H1083" s="7">
        <v>1900</v>
      </c>
      <c r="I1083">
        <f t="shared" si="186"/>
        <v>2660</v>
      </c>
      <c r="J1083">
        <f t="shared" si="187"/>
        <v>2926.0000000000005</v>
      </c>
      <c r="K1083" s="7" t="s">
        <v>2466</v>
      </c>
    </row>
    <row r="1084" spans="2:11">
      <c r="B1084" t="s">
        <v>1924</v>
      </c>
      <c r="C1084" t="s">
        <v>1972</v>
      </c>
      <c r="D1084" s="3" t="s">
        <v>2441</v>
      </c>
      <c r="E1084" s="7">
        <v>39</v>
      </c>
      <c r="F1084">
        <f t="shared" si="185"/>
        <v>54.599999999999994</v>
      </c>
      <c r="G1084">
        <f t="shared" si="184"/>
        <v>60.059999999999995</v>
      </c>
      <c r="H1084" s="7">
        <v>1800</v>
      </c>
      <c r="I1084">
        <f t="shared" si="186"/>
        <v>2520</v>
      </c>
      <c r="J1084">
        <f t="shared" si="187"/>
        <v>2772</v>
      </c>
      <c r="K1084" s="7" t="s">
        <v>2467</v>
      </c>
    </row>
    <row r="1085" spans="2:11">
      <c r="B1085" t="s">
        <v>1924</v>
      </c>
      <c r="C1085" t="s">
        <v>1973</v>
      </c>
      <c r="D1085" s="3" t="s">
        <v>2468</v>
      </c>
      <c r="E1085" s="7">
        <v>101</v>
      </c>
      <c r="F1085">
        <f t="shared" si="185"/>
        <v>141.39999999999998</v>
      </c>
      <c r="G1085">
        <f t="shared" si="184"/>
        <v>155.54</v>
      </c>
      <c r="H1085" s="7">
        <v>1800</v>
      </c>
      <c r="I1085">
        <f t="shared" si="186"/>
        <v>2520</v>
      </c>
      <c r="J1085">
        <f t="shared" si="187"/>
        <v>2772</v>
      </c>
      <c r="K1085" s="7" t="s">
        <v>2469</v>
      </c>
    </row>
    <row r="1086" spans="2:11">
      <c r="B1086" t="s">
        <v>1924</v>
      </c>
      <c r="C1086" t="s">
        <v>1974</v>
      </c>
      <c r="D1086" s="3" t="s">
        <v>2470</v>
      </c>
      <c r="E1086" s="7">
        <v>25</v>
      </c>
      <c r="F1086">
        <f t="shared" si="185"/>
        <v>35</v>
      </c>
      <c r="G1086">
        <f t="shared" si="184"/>
        <v>38.5</v>
      </c>
      <c r="H1086" s="7">
        <v>1000</v>
      </c>
      <c r="I1086">
        <f t="shared" si="186"/>
        <v>1400</v>
      </c>
      <c r="J1086">
        <f t="shared" si="187"/>
        <v>1540.0000000000002</v>
      </c>
      <c r="K1086" s="7" t="s">
        <v>2471</v>
      </c>
    </row>
    <row r="1087" spans="2:11">
      <c r="F1087">
        <f t="shared" si="185"/>
        <v>0</v>
      </c>
      <c r="G1087">
        <f t="shared" si="184"/>
        <v>0</v>
      </c>
      <c r="I1087">
        <f t="shared" si="186"/>
        <v>0</v>
      </c>
      <c r="J1087">
        <f t="shared" si="187"/>
        <v>0</v>
      </c>
    </row>
    <row r="1088" spans="2:11">
      <c r="B1088" t="s">
        <v>1976</v>
      </c>
      <c r="C1088" t="s">
        <v>1977</v>
      </c>
      <c r="D1088" s="10" t="s">
        <v>2472</v>
      </c>
      <c r="E1088" s="7">
        <v>20</v>
      </c>
      <c r="F1088">
        <f t="shared" si="185"/>
        <v>28</v>
      </c>
      <c r="G1088">
        <f t="shared" si="184"/>
        <v>30.800000000000004</v>
      </c>
      <c r="H1088" s="7">
        <v>200</v>
      </c>
      <c r="I1088">
        <f t="shared" si="186"/>
        <v>280</v>
      </c>
      <c r="J1088">
        <f t="shared" si="187"/>
        <v>308</v>
      </c>
      <c r="K1088" s="7" t="s">
        <v>2473</v>
      </c>
    </row>
    <row r="1089" spans="2:11">
      <c r="B1089" t="s">
        <v>1976</v>
      </c>
      <c r="C1089" t="s">
        <v>1978</v>
      </c>
      <c r="D1089" s="3" t="s">
        <v>2474</v>
      </c>
      <c r="E1089" s="7">
        <v>80</v>
      </c>
      <c r="F1089">
        <f t="shared" si="185"/>
        <v>112</v>
      </c>
      <c r="G1089">
        <f t="shared" si="184"/>
        <v>123.20000000000002</v>
      </c>
      <c r="H1089" s="7">
        <v>999</v>
      </c>
      <c r="I1089">
        <f t="shared" si="186"/>
        <v>1398.6</v>
      </c>
      <c r="J1089">
        <f t="shared" si="187"/>
        <v>1538.46</v>
      </c>
      <c r="K1089" s="7" t="s">
        <v>2475</v>
      </c>
    </row>
    <row r="1090" spans="2:11">
      <c r="B1090" t="s">
        <v>1976</v>
      </c>
      <c r="C1090" t="s">
        <v>1979</v>
      </c>
      <c r="E1090" s="7">
        <v>18</v>
      </c>
      <c r="F1090">
        <f t="shared" si="185"/>
        <v>25.2</v>
      </c>
      <c r="G1090">
        <f t="shared" si="184"/>
        <v>27.720000000000002</v>
      </c>
      <c r="H1090" s="7">
        <v>270</v>
      </c>
      <c r="I1090">
        <f t="shared" si="186"/>
        <v>378</v>
      </c>
      <c r="J1090">
        <f t="shared" si="187"/>
        <v>415.8</v>
      </c>
      <c r="K1090" s="7" t="s">
        <v>2476</v>
      </c>
    </row>
    <row r="1091" spans="2:11">
      <c r="B1091" t="s">
        <v>1976</v>
      </c>
      <c r="C1091" t="s">
        <v>1980</v>
      </c>
      <c r="E1091" s="7">
        <v>15</v>
      </c>
      <c r="F1091">
        <f t="shared" si="185"/>
        <v>21</v>
      </c>
      <c r="G1091">
        <f t="shared" ref="G1091:G1118" si="188">F1091*1.1</f>
        <v>23.1</v>
      </c>
      <c r="H1091" s="7">
        <v>100</v>
      </c>
      <c r="I1091">
        <f t="shared" si="186"/>
        <v>140</v>
      </c>
      <c r="J1091">
        <f t="shared" si="187"/>
        <v>154</v>
      </c>
      <c r="K1091" s="7" t="s">
        <v>2477</v>
      </c>
    </row>
    <row r="1092" spans="2:11">
      <c r="B1092" t="s">
        <v>1976</v>
      </c>
      <c r="C1092" t="s">
        <v>1981</v>
      </c>
      <c r="E1092" s="7">
        <v>15</v>
      </c>
      <c r="F1092">
        <f t="shared" si="185"/>
        <v>21</v>
      </c>
      <c r="G1092">
        <f t="shared" si="188"/>
        <v>23.1</v>
      </c>
      <c r="H1092" s="7">
        <v>160</v>
      </c>
      <c r="I1092">
        <f t="shared" si="186"/>
        <v>224</v>
      </c>
      <c r="J1092">
        <f t="shared" si="187"/>
        <v>246.40000000000003</v>
      </c>
      <c r="K1092" s="7" t="s">
        <v>2478</v>
      </c>
    </row>
    <row r="1093" spans="2:11">
      <c r="B1093" t="s">
        <v>1976</v>
      </c>
      <c r="C1093" t="s">
        <v>1982</v>
      </c>
      <c r="D1093" s="3" t="s">
        <v>2479</v>
      </c>
      <c r="E1093" s="7">
        <v>25</v>
      </c>
      <c r="F1093">
        <f t="shared" si="185"/>
        <v>35</v>
      </c>
      <c r="G1093">
        <f t="shared" si="188"/>
        <v>38.5</v>
      </c>
      <c r="H1093" s="7">
        <v>349</v>
      </c>
      <c r="I1093">
        <f t="shared" si="186"/>
        <v>488.59999999999997</v>
      </c>
      <c r="J1093">
        <f t="shared" si="187"/>
        <v>537.46</v>
      </c>
      <c r="K1093" s="7" t="s">
        <v>2480</v>
      </c>
    </row>
    <row r="1094" spans="2:11">
      <c r="B1094" t="s">
        <v>1976</v>
      </c>
      <c r="C1094" t="s">
        <v>1983</v>
      </c>
      <c r="D1094" s="3" t="s">
        <v>2481</v>
      </c>
      <c r="E1094" s="7">
        <v>17</v>
      </c>
      <c r="F1094">
        <f t="shared" si="185"/>
        <v>23.799999999999997</v>
      </c>
      <c r="G1094">
        <f t="shared" si="188"/>
        <v>26.18</v>
      </c>
      <c r="H1094" s="7">
        <v>200</v>
      </c>
      <c r="I1094">
        <f t="shared" si="186"/>
        <v>280</v>
      </c>
      <c r="J1094">
        <f t="shared" si="187"/>
        <v>308</v>
      </c>
      <c r="K1094" s="7" t="s">
        <v>2482</v>
      </c>
    </row>
    <row r="1095" spans="2:11">
      <c r="B1095" t="s">
        <v>1976</v>
      </c>
      <c r="C1095" t="s">
        <v>1984</v>
      </c>
      <c r="D1095" s="3" t="s">
        <v>2483</v>
      </c>
      <c r="E1095" s="7">
        <v>15</v>
      </c>
      <c r="F1095">
        <f t="shared" si="185"/>
        <v>21</v>
      </c>
      <c r="G1095">
        <f t="shared" si="188"/>
        <v>23.1</v>
      </c>
      <c r="H1095" s="7">
        <v>100</v>
      </c>
      <c r="I1095">
        <f t="shared" si="186"/>
        <v>140</v>
      </c>
      <c r="J1095">
        <f t="shared" si="187"/>
        <v>154</v>
      </c>
      <c r="K1095" s="7" t="s">
        <v>2484</v>
      </c>
    </row>
    <row r="1096" spans="2:11">
      <c r="F1096">
        <f t="shared" si="185"/>
        <v>0</v>
      </c>
      <c r="G1096">
        <f t="shared" si="188"/>
        <v>0</v>
      </c>
      <c r="I1096">
        <f t="shared" si="186"/>
        <v>0</v>
      </c>
      <c r="J1096">
        <f t="shared" si="187"/>
        <v>0</v>
      </c>
    </row>
    <row r="1097" spans="2:11">
      <c r="B1097" t="s">
        <v>1985</v>
      </c>
      <c r="C1097" t="s">
        <v>1986</v>
      </c>
      <c r="E1097" s="7">
        <v>25</v>
      </c>
      <c r="F1097">
        <f t="shared" si="185"/>
        <v>35</v>
      </c>
      <c r="G1097">
        <f t="shared" si="188"/>
        <v>38.5</v>
      </c>
      <c r="H1097" s="7">
        <v>574</v>
      </c>
      <c r="I1097">
        <f t="shared" si="186"/>
        <v>803.59999999999991</v>
      </c>
      <c r="J1097">
        <f t="shared" si="187"/>
        <v>883.95999999999992</v>
      </c>
      <c r="K1097" s="7" t="s">
        <v>2485</v>
      </c>
    </row>
    <row r="1098" spans="2:11">
      <c r="B1098" t="s">
        <v>1985</v>
      </c>
      <c r="C1098" t="s">
        <v>1987</v>
      </c>
      <c r="E1098" s="7">
        <v>25</v>
      </c>
      <c r="F1098">
        <f t="shared" si="185"/>
        <v>35</v>
      </c>
      <c r="G1098">
        <f t="shared" si="188"/>
        <v>38.5</v>
      </c>
      <c r="H1098" s="7">
        <v>775</v>
      </c>
      <c r="I1098">
        <f t="shared" si="186"/>
        <v>1085</v>
      </c>
      <c r="J1098">
        <f t="shared" si="187"/>
        <v>1193.5</v>
      </c>
      <c r="K1098" s="7" t="s">
        <v>2486</v>
      </c>
    </row>
    <row r="1099" spans="2:11">
      <c r="B1099" t="s">
        <v>1985</v>
      </c>
      <c r="C1099" t="s">
        <v>1988</v>
      </c>
      <c r="E1099" s="7">
        <v>5</v>
      </c>
      <c r="F1099">
        <f t="shared" si="185"/>
        <v>7</v>
      </c>
      <c r="G1099">
        <f t="shared" si="188"/>
        <v>7.7000000000000011</v>
      </c>
      <c r="H1099" s="7">
        <v>184</v>
      </c>
      <c r="I1099">
        <f t="shared" si="186"/>
        <v>257.59999999999997</v>
      </c>
      <c r="J1099">
        <f t="shared" si="187"/>
        <v>283.36</v>
      </c>
      <c r="K1099" s="7" t="s">
        <v>2487</v>
      </c>
    </row>
    <row r="1100" spans="2:11">
      <c r="B1100" t="s">
        <v>1985</v>
      </c>
      <c r="C1100" t="s">
        <v>1989</v>
      </c>
      <c r="E1100" s="7">
        <v>50</v>
      </c>
      <c r="F1100">
        <f t="shared" si="185"/>
        <v>70</v>
      </c>
      <c r="G1100">
        <f t="shared" si="188"/>
        <v>77</v>
      </c>
      <c r="H1100" s="7">
        <v>1668</v>
      </c>
      <c r="I1100">
        <f t="shared" si="186"/>
        <v>2335.1999999999998</v>
      </c>
      <c r="J1100">
        <f t="shared" si="187"/>
        <v>2568.7199999999998</v>
      </c>
      <c r="K1100" s="7" t="s">
        <v>2488</v>
      </c>
    </row>
    <row r="1101" spans="2:11">
      <c r="B1101" t="s">
        <v>1985</v>
      </c>
      <c r="C1101" t="s">
        <v>1990</v>
      </c>
      <c r="E1101" s="7">
        <v>15</v>
      </c>
      <c r="F1101">
        <f t="shared" si="185"/>
        <v>21</v>
      </c>
      <c r="G1101">
        <f t="shared" si="188"/>
        <v>23.1</v>
      </c>
      <c r="H1101" s="7">
        <v>280</v>
      </c>
      <c r="I1101">
        <f t="shared" si="186"/>
        <v>392</v>
      </c>
      <c r="J1101">
        <f t="shared" si="187"/>
        <v>431.20000000000005</v>
      </c>
      <c r="K1101" s="7" t="s">
        <v>2489</v>
      </c>
    </row>
    <row r="1102" spans="2:11">
      <c r="B1102" t="s">
        <v>1985</v>
      </c>
      <c r="C1102" t="s">
        <v>1991</v>
      </c>
      <c r="E1102" s="7">
        <v>100</v>
      </c>
      <c r="F1102">
        <f t="shared" si="185"/>
        <v>140</v>
      </c>
      <c r="G1102">
        <f t="shared" si="188"/>
        <v>154</v>
      </c>
      <c r="H1102" s="7">
        <v>2200</v>
      </c>
      <c r="I1102">
        <f t="shared" si="186"/>
        <v>3080</v>
      </c>
      <c r="J1102">
        <f t="shared" si="187"/>
        <v>3388.0000000000005</v>
      </c>
      <c r="K1102" s="7" t="s">
        <v>2490</v>
      </c>
    </row>
    <row r="1103" spans="2:11">
      <c r="B1103" t="s">
        <v>1985</v>
      </c>
      <c r="C1103" t="s">
        <v>1992</v>
      </c>
      <c r="E1103" s="7">
        <v>120</v>
      </c>
      <c r="F1103">
        <f t="shared" si="185"/>
        <v>168</v>
      </c>
      <c r="G1103">
        <f t="shared" si="188"/>
        <v>184.8</v>
      </c>
      <c r="H1103" s="7">
        <v>2450</v>
      </c>
      <c r="I1103">
        <f t="shared" si="186"/>
        <v>3430</v>
      </c>
      <c r="J1103">
        <f t="shared" si="187"/>
        <v>3773.0000000000005</v>
      </c>
      <c r="K1103" s="7" t="s">
        <v>2491</v>
      </c>
    </row>
    <row r="1104" spans="2:11">
      <c r="B1104" t="s">
        <v>1985</v>
      </c>
      <c r="C1104" t="s">
        <v>1993</v>
      </c>
      <c r="E1104" s="7">
        <v>40</v>
      </c>
      <c r="F1104">
        <f t="shared" si="185"/>
        <v>56</v>
      </c>
      <c r="G1104">
        <f t="shared" si="188"/>
        <v>61.600000000000009</v>
      </c>
      <c r="H1104" s="7">
        <v>330</v>
      </c>
      <c r="I1104">
        <f t="shared" si="186"/>
        <v>461.99999999999994</v>
      </c>
      <c r="J1104">
        <f t="shared" si="187"/>
        <v>508.2</v>
      </c>
      <c r="K1104" s="7" t="s">
        <v>2492</v>
      </c>
    </row>
    <row r="1105" spans="2:11">
      <c r="B1105" t="s">
        <v>1985</v>
      </c>
      <c r="C1105" t="s">
        <v>1994</v>
      </c>
      <c r="E1105" s="7">
        <v>15</v>
      </c>
      <c r="F1105">
        <f t="shared" si="185"/>
        <v>21</v>
      </c>
      <c r="G1105">
        <f t="shared" si="188"/>
        <v>23.1</v>
      </c>
      <c r="H1105" s="7">
        <v>100</v>
      </c>
      <c r="I1105">
        <f t="shared" si="186"/>
        <v>140</v>
      </c>
      <c r="J1105">
        <f t="shared" si="187"/>
        <v>154</v>
      </c>
      <c r="K1105" s="7" t="s">
        <v>2493</v>
      </c>
    </row>
    <row r="1106" spans="2:11">
      <c r="B1106" t="s">
        <v>1985</v>
      </c>
      <c r="C1106" t="s">
        <v>1995</v>
      </c>
      <c r="F1106">
        <f t="shared" si="185"/>
        <v>0</v>
      </c>
      <c r="G1106">
        <f t="shared" si="188"/>
        <v>0</v>
      </c>
      <c r="H1106" s="7">
        <v>304</v>
      </c>
      <c r="I1106">
        <f t="shared" si="186"/>
        <v>425.59999999999997</v>
      </c>
      <c r="J1106">
        <f t="shared" si="187"/>
        <v>468.16</v>
      </c>
      <c r="K1106" s="7" t="s">
        <v>2494</v>
      </c>
    </row>
    <row r="1107" spans="2:11">
      <c r="B1107" t="s">
        <v>1985</v>
      </c>
      <c r="C1107" t="s">
        <v>1996</v>
      </c>
      <c r="E1107" s="7">
        <v>100</v>
      </c>
      <c r="F1107">
        <f t="shared" si="185"/>
        <v>140</v>
      </c>
      <c r="G1107">
        <f t="shared" si="188"/>
        <v>154</v>
      </c>
      <c r="H1107" s="7">
        <v>1577</v>
      </c>
      <c r="I1107">
        <f t="shared" si="186"/>
        <v>2207.7999999999997</v>
      </c>
      <c r="J1107">
        <f t="shared" si="187"/>
        <v>2428.58</v>
      </c>
      <c r="K1107" s="7" t="s">
        <v>2495</v>
      </c>
    </row>
    <row r="1108" spans="2:11">
      <c r="B1108" t="s">
        <v>1985</v>
      </c>
      <c r="C1108" t="s">
        <v>1997</v>
      </c>
      <c r="E1108" s="7">
        <v>20</v>
      </c>
      <c r="F1108">
        <f t="shared" si="185"/>
        <v>28</v>
      </c>
      <c r="G1108">
        <f t="shared" si="188"/>
        <v>30.800000000000004</v>
      </c>
      <c r="H1108" s="7">
        <v>261</v>
      </c>
      <c r="I1108">
        <f t="shared" si="186"/>
        <v>365.4</v>
      </c>
      <c r="J1108">
        <f t="shared" si="187"/>
        <v>401.94</v>
      </c>
      <c r="K1108" s="7" t="s">
        <v>2496</v>
      </c>
    </row>
    <row r="1109" spans="2:11">
      <c r="B1109" t="s">
        <v>1985</v>
      </c>
      <c r="C1109" t="s">
        <v>1998</v>
      </c>
      <c r="E1109" s="7">
        <v>33</v>
      </c>
      <c r="F1109">
        <f t="shared" si="185"/>
        <v>46.199999999999996</v>
      </c>
      <c r="G1109">
        <f t="shared" si="188"/>
        <v>50.82</v>
      </c>
      <c r="H1109" s="7">
        <v>323</v>
      </c>
      <c r="I1109">
        <f t="shared" si="186"/>
        <v>452.2</v>
      </c>
      <c r="J1109">
        <f t="shared" si="187"/>
        <v>497.42</v>
      </c>
      <c r="K1109" s="7" t="s">
        <v>2497</v>
      </c>
    </row>
    <row r="1110" spans="2:11">
      <c r="B1110" t="s">
        <v>1985</v>
      </c>
      <c r="C1110" t="s">
        <v>1999</v>
      </c>
      <c r="E1110" s="7">
        <v>25</v>
      </c>
      <c r="F1110">
        <f t="shared" si="185"/>
        <v>35</v>
      </c>
      <c r="G1110">
        <f t="shared" si="188"/>
        <v>38.5</v>
      </c>
      <c r="H1110" s="7">
        <v>522</v>
      </c>
      <c r="I1110">
        <f t="shared" si="186"/>
        <v>730.8</v>
      </c>
      <c r="J1110">
        <f t="shared" si="187"/>
        <v>803.88</v>
      </c>
      <c r="K1110" s="7" t="s">
        <v>2498</v>
      </c>
    </row>
    <row r="1111" spans="2:11">
      <c r="B1111" t="s">
        <v>1985</v>
      </c>
      <c r="C1111" t="s">
        <v>2000</v>
      </c>
      <c r="E1111" s="7">
        <v>3</v>
      </c>
      <c r="F1111">
        <f t="shared" si="185"/>
        <v>4.1999999999999993</v>
      </c>
      <c r="G1111">
        <f t="shared" si="188"/>
        <v>4.6199999999999992</v>
      </c>
      <c r="H1111" s="7">
        <v>36</v>
      </c>
      <c r="I1111">
        <f t="shared" si="186"/>
        <v>50.4</v>
      </c>
      <c r="J1111">
        <f t="shared" si="187"/>
        <v>55.440000000000005</v>
      </c>
      <c r="K1111" s="7" t="s">
        <v>2499</v>
      </c>
    </row>
    <row r="1112" spans="2:11">
      <c r="B1112" t="s">
        <v>1985</v>
      </c>
      <c r="C1112" t="s">
        <v>2001</v>
      </c>
      <c r="E1112" s="7">
        <v>65</v>
      </c>
      <c r="F1112">
        <f t="shared" si="185"/>
        <v>91</v>
      </c>
      <c r="G1112">
        <f t="shared" si="188"/>
        <v>100.10000000000001</v>
      </c>
      <c r="H1112" s="7">
        <v>1200</v>
      </c>
      <c r="I1112">
        <f t="shared" si="186"/>
        <v>1680</v>
      </c>
      <c r="J1112">
        <f t="shared" si="187"/>
        <v>1848.0000000000002</v>
      </c>
      <c r="K1112" s="7" t="s">
        <v>2500</v>
      </c>
    </row>
    <row r="1113" spans="2:11">
      <c r="B1113" t="s">
        <v>1985</v>
      </c>
      <c r="C1113" t="s">
        <v>2002</v>
      </c>
      <c r="E1113" s="7">
        <v>25</v>
      </c>
      <c r="F1113">
        <f t="shared" si="185"/>
        <v>35</v>
      </c>
      <c r="G1113">
        <f t="shared" si="188"/>
        <v>38.5</v>
      </c>
      <c r="H1113" s="7">
        <v>261</v>
      </c>
      <c r="I1113">
        <f t="shared" si="186"/>
        <v>365.4</v>
      </c>
      <c r="J1113">
        <f t="shared" si="187"/>
        <v>401.94</v>
      </c>
      <c r="K1113" s="7" t="s">
        <v>2501</v>
      </c>
    </row>
    <row r="1114" spans="2:11">
      <c r="B1114" t="s">
        <v>1985</v>
      </c>
      <c r="C1114" t="s">
        <v>2003</v>
      </c>
      <c r="D1114" s="3" t="s">
        <v>2502</v>
      </c>
      <c r="E1114" s="7">
        <v>20</v>
      </c>
      <c r="F1114">
        <f t="shared" si="185"/>
        <v>28</v>
      </c>
      <c r="G1114">
        <f t="shared" si="188"/>
        <v>30.800000000000004</v>
      </c>
      <c r="H1114" s="7">
        <v>170</v>
      </c>
      <c r="I1114">
        <f t="shared" si="186"/>
        <v>237.99999999999997</v>
      </c>
      <c r="J1114">
        <f t="shared" si="187"/>
        <v>261.8</v>
      </c>
      <c r="K1114" s="7" t="s">
        <v>2503</v>
      </c>
    </row>
    <row r="1115" spans="2:11">
      <c r="F1115">
        <f t="shared" si="185"/>
        <v>0</v>
      </c>
      <c r="G1115">
        <f t="shared" si="188"/>
        <v>0</v>
      </c>
      <c r="I1115">
        <f t="shared" si="186"/>
        <v>0</v>
      </c>
      <c r="J1115">
        <f t="shared" si="187"/>
        <v>0</v>
      </c>
    </row>
    <row r="1116" spans="2:11">
      <c r="B1116" t="s">
        <v>2004</v>
      </c>
      <c r="C1116" t="s">
        <v>2005</v>
      </c>
      <c r="D1116" s="3" t="s">
        <v>2504</v>
      </c>
      <c r="E1116" s="7">
        <v>390</v>
      </c>
      <c r="F1116">
        <f t="shared" si="185"/>
        <v>546</v>
      </c>
      <c r="G1116">
        <f t="shared" si="188"/>
        <v>600.6</v>
      </c>
      <c r="H1116" s="7">
        <v>3000</v>
      </c>
      <c r="I1116">
        <f t="shared" si="186"/>
        <v>4200</v>
      </c>
      <c r="J1116">
        <f t="shared" si="187"/>
        <v>4620</v>
      </c>
      <c r="K1116" s="7" t="s">
        <v>2505</v>
      </c>
    </row>
    <row r="1117" spans="2:11">
      <c r="F1117">
        <f t="shared" si="185"/>
        <v>0</v>
      </c>
      <c r="G1117">
        <f t="shared" si="188"/>
        <v>0</v>
      </c>
      <c r="I1117">
        <f t="shared" si="186"/>
        <v>0</v>
      </c>
      <c r="J1117">
        <f t="shared" si="187"/>
        <v>0</v>
      </c>
    </row>
    <row r="1118" spans="2:11">
      <c r="B1118" t="s">
        <v>2007</v>
      </c>
      <c r="C1118" t="s">
        <v>2006</v>
      </c>
      <c r="E1118" s="7">
        <v>50</v>
      </c>
      <c r="F1118">
        <f t="shared" ref="F1118" si="189">E1118*1.4</f>
        <v>70</v>
      </c>
      <c r="G1118">
        <f t="shared" si="188"/>
        <v>77</v>
      </c>
      <c r="H1118" s="7">
        <v>500</v>
      </c>
      <c r="I1118">
        <f t="shared" si="186"/>
        <v>700</v>
      </c>
      <c r="J1118">
        <f t="shared" si="187"/>
        <v>770.00000000000011</v>
      </c>
      <c r="K1118" s="7" t="s">
        <v>2506</v>
      </c>
    </row>
  </sheetData>
  <sortState ref="B670:K678">
    <sortCondition ref="C670:C678"/>
  </sortState>
  <pageMargins left="0.7" right="0.7" top="0.75" bottom="0.75" header="0.3" footer="0.3"/>
</worksheet>
</file>

<file path=xl/worksheets/sheet2.xml><?xml version="1.0" encoding="utf-8"?>
<worksheet xmlns="http://schemas.openxmlformats.org/spreadsheetml/2006/main" xmlns:r="http://schemas.openxmlformats.org/officeDocument/2006/relationships">
  <dimension ref="B3:K5"/>
  <sheetViews>
    <sheetView workbookViewId="0">
      <selection activeCell="D20" sqref="D20"/>
    </sheetView>
  </sheetViews>
  <sheetFormatPr defaultColWidth="11" defaultRowHeight="15.75"/>
  <sheetData>
    <row r="3" spans="2:11">
      <c r="B3" t="s">
        <v>250</v>
      </c>
      <c r="C3" t="s">
        <v>252</v>
      </c>
      <c r="D3" s="3" t="s">
        <v>251</v>
      </c>
      <c r="E3" s="7">
        <v>49</v>
      </c>
      <c r="H3" s="7">
        <v>646.95000000000005</v>
      </c>
      <c r="K3" s="7" t="s">
        <v>253</v>
      </c>
    </row>
    <row r="4" spans="2:11">
      <c r="B4" t="s">
        <v>250</v>
      </c>
      <c r="C4" t="s">
        <v>255</v>
      </c>
      <c r="D4" s="3" t="s">
        <v>254</v>
      </c>
      <c r="E4" s="7">
        <v>40</v>
      </c>
      <c r="H4" s="7">
        <v>485.96</v>
      </c>
      <c r="K4" s="7" t="s">
        <v>256</v>
      </c>
    </row>
    <row r="5" spans="2:11">
      <c r="B5" t="s">
        <v>250</v>
      </c>
      <c r="C5" t="s">
        <v>258</v>
      </c>
      <c r="D5" s="3" t="s">
        <v>257</v>
      </c>
      <c r="E5" s="7">
        <v>45</v>
      </c>
      <c r="H5" s="7">
        <v>569.95000000000005</v>
      </c>
      <c r="K5" s="7" t="s">
        <v>259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admin</cp:lastModifiedBy>
  <dcterms:created xsi:type="dcterms:W3CDTF">2017-12-22T05:26:08Z</dcterms:created>
  <dcterms:modified xsi:type="dcterms:W3CDTF">2018-02-09T14:41:46Z</dcterms:modified>
</cp:coreProperties>
</file>